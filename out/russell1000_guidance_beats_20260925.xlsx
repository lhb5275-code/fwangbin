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가이던스 상회 기업" sheetId="1" state="visible" r:id="rId3"/>
    <sheet name="섹터 요약" sheetId="2" state="visible" r:id="rId4"/>
    <sheet name="전체 가이던스 비교" sheetId="3" state="visible" r:id="rId5"/>
    <sheet name="메모" sheetId="4" state="visible" r:id="rId6"/>
  </sheets>
  <definedNames>
    <definedName function="false" hidden="true" localSheetId="0" name="_xlnm._FilterDatabase" vbProcedure="false">'가이던스 상회 기업'!$A$1:$AK$46</definedName>
    <definedName function="false" hidden="true" localSheetId="2" name="_xlnm._FilterDatabase" vbProcedure="false">'전체 가이던스 비교'!$A$1:$P$152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<sst xmlns="http://schemas.openxmlformats.org/spreadsheetml/2006/main" count="1619" uniqueCount="616">
  <si>
    <t xml:space="preserve">기업명</t>
  </si>
  <si>
    <t xml:space="preserve">티커</t>
  </si>
  <si>
    <r>
      <rPr>
        <b val="true"/>
        <sz val="11"/>
        <rFont val="WenQuanYi Zen Hei"/>
        <family val="2"/>
      </rPr>
      <t xml:space="preserve">섹터</t>
    </r>
    <r>
      <rPr>
        <b val="true"/>
        <sz val="11"/>
        <rFont val="Cambria"/>
        <family val="0"/>
        <charset val="1"/>
      </rPr>
      <t xml:space="preserve">(GICS)</t>
    </r>
  </si>
  <si>
    <t xml:space="preserve">주요 사업</t>
  </si>
  <si>
    <r>
      <rPr>
        <b val="true"/>
        <sz val="11"/>
        <rFont val="WenQuanYi Zen Hei"/>
        <family val="2"/>
      </rPr>
      <t xml:space="preserve">최근 분기</t>
    </r>
    <r>
      <rPr>
        <b val="true"/>
        <sz val="11"/>
        <rFont val="Cambria"/>
        <family val="0"/>
        <charset val="1"/>
      </rPr>
      <t xml:space="preserve">(Q0) </t>
    </r>
    <r>
      <rPr>
        <b val="true"/>
        <sz val="11"/>
        <rFont val="WenQuanYi Zen Hei"/>
        <family val="2"/>
      </rPr>
      <t xml:space="preserve">종료일</t>
    </r>
  </si>
  <si>
    <r>
      <rPr>
        <b val="true"/>
        <sz val="11"/>
        <rFont val="Cambria"/>
        <family val="0"/>
        <charset val="1"/>
      </rPr>
      <t xml:space="preserve">Q0 </t>
    </r>
    <r>
      <rPr>
        <b val="true"/>
        <sz val="11"/>
        <rFont val="WenQuanYi Zen Hei"/>
        <family val="2"/>
      </rPr>
      <t xml:space="preserve">실적 발표일</t>
    </r>
  </si>
  <si>
    <r>
      <rPr>
        <b val="true"/>
        <sz val="11"/>
        <rFont val="WenQuanYi Zen Hei"/>
        <family val="2"/>
      </rPr>
      <t xml:space="preserve">매출 가이던스 하단 </t>
    </r>
    <r>
      <rPr>
        <b val="true"/>
        <sz val="11"/>
        <rFont val="Cambria"/>
        <family val="0"/>
        <charset val="1"/>
      </rPr>
      <t xml:space="preserve">(</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</si>
  <si>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매출 가이던스 상단 </t>
    </r>
    <r>
      <rPr>
        <b val="true"/>
        <sz val="11"/>
        <rFont val="Cambria"/>
        <family val="0"/>
        <charset val="1"/>
      </rPr>
      <t xml:space="preserve">(</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</si>
  <si>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가이던스 중앙값 </t>
    </r>
    <r>
      <rPr>
        <b val="true"/>
        <sz val="11"/>
        <rFont val="Cambria"/>
        <family val="0"/>
        <charset val="1"/>
      </rPr>
      <t xml:space="preserve">(</t>
    </r>
    <r>
      <rPr>
        <b val="true"/>
        <sz val="11"/>
        <rFont val="WenQuanYi Zen Hei"/>
        <family val="2"/>
      </rPr>
      <t xml:space="preserve">백만</t>
    </r>
    <r>
      <rPr>
        <b val="true"/>
        <sz val="11"/>
        <rFont val="Cambria"/>
        <family val="0"/>
        <charset val="1"/>
      </rPr>
      <t xml:space="preserve">$)</t>
    </r>
  </si>
  <si>
    <r>
      <rPr>
        <b val="true"/>
        <sz val="11"/>
        <rFont val="Cambria"/>
        <family val="0"/>
        <charset val="1"/>
      </rPr>
      <t xml:space="preserve">Q0 </t>
    </r>
    <r>
      <rPr>
        <b val="true"/>
        <sz val="11"/>
        <rFont val="WenQuanYi Zen Hei"/>
        <family val="2"/>
      </rPr>
      <t xml:space="preserve">실제 매출 </t>
    </r>
    <r>
      <rPr>
        <b val="true"/>
        <sz val="11"/>
        <rFont val="Cambria"/>
        <family val="0"/>
        <charset val="1"/>
      </rPr>
      <t xml:space="preserve">(</t>
    </r>
    <r>
      <rPr>
        <b val="true"/>
        <sz val="11"/>
        <rFont val="WenQuanYi Zen Hei"/>
        <family val="2"/>
      </rPr>
      <t xml:space="preserve">백만</t>
    </r>
    <r>
      <rPr>
        <b val="true"/>
        <sz val="11"/>
        <rFont val="Cambria"/>
        <family val="0"/>
        <charset val="1"/>
      </rPr>
      <t xml:space="preserve">$)</t>
    </r>
  </si>
  <si>
    <t xml:space="preserve">가이던스 중앙값 대비</t>
  </si>
  <si>
    <t xml:space="preserve">가이던스 상단 대비</t>
  </si>
  <si>
    <t xml:space="preserve">가이던스 형태</t>
  </si>
  <si>
    <r>
      <rPr>
        <b val="true"/>
        <sz val="11"/>
        <rFont val="Cambria"/>
        <family val="0"/>
        <charset val="1"/>
      </rPr>
      <t xml:space="preserve">EPS </t>
    </r>
    <r>
      <rPr>
        <b val="true"/>
        <sz val="11"/>
        <rFont val="WenQuanYi Zen Hei"/>
        <family val="2"/>
      </rPr>
      <t xml:space="preserve">서프라이즈 </t>
    </r>
    <r>
      <rPr>
        <b val="true"/>
        <sz val="11"/>
        <rFont val="Cambria"/>
        <family val="0"/>
        <charset val="1"/>
      </rPr>
      <t xml:space="preserve">(</t>
    </r>
    <r>
      <rPr>
        <b val="true"/>
        <sz val="11"/>
        <rFont val="WenQuanYi Zen Hei"/>
        <family val="2"/>
      </rPr>
      <t xml:space="preserve">컨센서스 대비</t>
    </r>
    <r>
      <rPr>
        <b val="true"/>
        <sz val="11"/>
        <rFont val="Cambria"/>
        <family val="0"/>
        <charset val="1"/>
      </rPr>
      <t xml:space="preserve">)</t>
    </r>
  </si>
  <si>
    <r>
      <rPr>
        <b val="true"/>
        <sz val="11"/>
        <rFont val="WenQuanYi Zen Hei"/>
        <family val="2"/>
      </rPr>
      <t xml:space="preserve">매출 </t>
    </r>
    <r>
      <rPr>
        <b val="true"/>
        <sz val="11"/>
        <rFont val="Cambria"/>
        <family val="0"/>
        <charset val="1"/>
      </rPr>
      <t xml:space="preserve">Q0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</si>
  <si>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매출 </t>
    </r>
    <r>
      <rPr>
        <b val="true"/>
        <sz val="11"/>
        <rFont val="Cambria"/>
        <family val="0"/>
        <charset val="1"/>
      </rPr>
      <t xml:space="preserve">Q-1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</si>
  <si>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매출 </t>
    </r>
    <r>
      <rPr>
        <b val="true"/>
        <sz val="11"/>
        <rFont val="Cambria"/>
        <family val="0"/>
        <charset val="1"/>
      </rPr>
      <t xml:space="preserve">Q-2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</si>
  <si>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매출 </t>
    </r>
    <r>
      <rPr>
        <b val="true"/>
        <sz val="11"/>
        <rFont val="Cambria"/>
        <family val="0"/>
        <charset val="1"/>
      </rPr>
      <t xml:space="preserve">Q-3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</si>
  <si>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매출 </t>
    </r>
    <r>
      <rPr>
        <b val="true"/>
        <sz val="11"/>
        <rFont val="Cambria"/>
        <family val="0"/>
        <charset val="1"/>
      </rPr>
      <t xml:space="preserve">Q-4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</si>
  <si>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영업이익 </t>
    </r>
    <r>
      <rPr>
        <b val="true"/>
        <sz val="11"/>
        <rFont val="Cambria"/>
        <family val="0"/>
        <charset val="1"/>
      </rPr>
      <t xml:space="preserve">Q0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</si>
  <si>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영업이익 </t>
    </r>
    <r>
      <rPr>
        <b val="true"/>
        <sz val="11"/>
        <rFont val="Cambria"/>
        <family val="0"/>
        <charset val="1"/>
      </rPr>
      <t xml:space="preserve">Q-1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</si>
  <si>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영업이익 </t>
    </r>
    <r>
      <rPr>
        <b val="true"/>
        <sz val="11"/>
        <rFont val="Cambria"/>
        <family val="0"/>
        <charset val="1"/>
      </rPr>
      <t xml:space="preserve">Q-2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</si>
  <si>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영업이익 </t>
    </r>
    <r>
      <rPr>
        <b val="true"/>
        <sz val="11"/>
        <rFont val="Cambria"/>
        <family val="0"/>
        <charset val="1"/>
      </rPr>
      <t xml:space="preserve">Q-3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</si>
  <si>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영업이익 </t>
    </r>
    <r>
      <rPr>
        <b val="true"/>
        <sz val="11"/>
        <rFont val="Cambria"/>
        <family val="0"/>
        <charset val="1"/>
      </rPr>
      <t xml:space="preserve">Q-4 (</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</si>
  <si>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매출성장률</t>
    </r>
    <r>
      <rPr>
        <b val="true"/>
        <sz val="11"/>
        <rFont val="Cambria"/>
        <family val="0"/>
        <charset val="1"/>
      </rPr>
      <t xml:space="preserve">(YoY)</t>
    </r>
  </si>
  <si>
    <r>
      <rPr>
        <b val="true"/>
        <sz val="11"/>
        <rFont val="WenQuanYi Zen Hei"/>
        <family val="2"/>
      </rPr>
      <t xml:space="preserve">영업이익성장률</t>
    </r>
    <r>
      <rPr>
        <b val="true"/>
        <sz val="11"/>
        <rFont val="Cambria"/>
        <family val="0"/>
        <charset val="1"/>
      </rPr>
      <t xml:space="preserve">(YoY)</t>
    </r>
  </si>
  <si>
    <r>
      <rPr>
        <b val="true"/>
        <sz val="11"/>
        <rFont val="WenQuanYi Zen Hei"/>
        <family val="2"/>
      </rPr>
      <t xml:space="preserve">매출 </t>
    </r>
    <r>
      <rPr>
        <b val="true"/>
        <sz val="11"/>
        <rFont val="Cambria"/>
        <family val="0"/>
        <charset val="1"/>
      </rPr>
      <t xml:space="preserve">QoQ(Q0)</t>
    </r>
  </si>
  <si>
    <r>
      <rPr>
        <b val="true"/>
        <sz val="11"/>
        <rFont val="WenQuanYi Zen Hei"/>
        <family val="2"/>
      </rPr>
      <t xml:space="preserve">매출 </t>
    </r>
    <r>
      <rPr>
        <b val="true"/>
        <sz val="11"/>
        <rFont val="Cambria"/>
        <family val="0"/>
        <charset val="1"/>
      </rPr>
      <t xml:space="preserve">QoQ(Q-1)</t>
    </r>
  </si>
  <si>
    <r>
      <rPr>
        <b val="true"/>
        <sz val="11"/>
        <rFont val="WenQuanYi Zen Hei"/>
        <family val="2"/>
      </rPr>
      <t xml:space="preserve">매출 </t>
    </r>
    <r>
      <rPr>
        <b val="true"/>
        <sz val="11"/>
        <rFont val="Cambria"/>
        <family val="0"/>
        <charset val="1"/>
      </rPr>
      <t xml:space="preserve">QoQ(Q-2)</t>
    </r>
  </si>
  <si>
    <r>
      <rPr>
        <b val="true"/>
        <sz val="11"/>
        <rFont val="WenQuanYi Zen Hei"/>
        <family val="2"/>
      </rPr>
      <t xml:space="preserve">매출 </t>
    </r>
    <r>
      <rPr>
        <b val="true"/>
        <sz val="11"/>
        <rFont val="Cambria"/>
        <family val="0"/>
        <charset val="1"/>
      </rPr>
      <t xml:space="preserve">QoQ(Q-3)</t>
    </r>
  </si>
  <si>
    <r>
      <rPr>
        <b val="true"/>
        <sz val="11"/>
        <rFont val="WenQuanYi Zen Hei"/>
        <family val="2"/>
      </rPr>
      <t xml:space="preserve">주가 </t>
    </r>
    <r>
      <rPr>
        <b val="true"/>
        <sz val="11"/>
        <rFont val="Cambria"/>
        <family val="0"/>
        <charset val="1"/>
      </rPr>
      <t xml:space="preserve">2025-09-25 ($)</t>
    </r>
  </si>
  <si>
    <r>
      <rPr>
        <b val="true"/>
        <sz val="11"/>
        <rFont val="WenQuanYi Zen Hei"/>
        <family val="2"/>
      </rPr>
      <t xml:space="preserve">주가 </t>
    </r>
    <r>
      <rPr>
        <b val="true"/>
        <sz val="11"/>
        <rFont val="Cambria"/>
        <family val="0"/>
        <charset val="1"/>
      </rPr>
      <t xml:space="preserve">2026-09-24 ($)</t>
    </r>
  </si>
  <si>
    <r>
      <rPr>
        <b val="true"/>
        <sz val="11"/>
        <rFont val="Cambria"/>
        <family val="0"/>
        <charset val="1"/>
      </rPr>
      <t xml:space="preserve">1</t>
    </r>
    <r>
      <rPr>
        <b val="true"/>
        <sz val="11"/>
        <rFont val="WenQuanYi Zen Hei"/>
        <family val="2"/>
      </rPr>
      <t xml:space="preserve">년 주가수익률</t>
    </r>
  </si>
  <si>
    <t xml:space="preserve">PER (trailing)</t>
  </si>
  <si>
    <t xml:space="preserve">Forward PER</t>
  </si>
  <si>
    <r>
      <rPr>
        <b val="true"/>
        <sz val="11"/>
        <rFont val="WenQuanYi Zen Hei"/>
        <family val="2"/>
      </rPr>
      <t xml:space="preserve">가이던스 근거 문장 </t>
    </r>
    <r>
      <rPr>
        <b val="true"/>
        <sz val="11"/>
        <rFont val="Cambria"/>
        <family val="0"/>
        <charset val="1"/>
      </rPr>
      <t xml:space="preserve">(</t>
    </r>
    <r>
      <rPr>
        <b val="true"/>
        <sz val="11"/>
        <rFont val="WenQuanYi Zen Hei"/>
        <family val="2"/>
      </rPr>
      <t xml:space="preserve">직전 분기 실적 발표문</t>
    </r>
    <r>
      <rPr>
        <b val="true"/>
        <sz val="11"/>
        <rFont val="Cambria"/>
        <family val="0"/>
        <charset val="1"/>
      </rPr>
      <t xml:space="preserve">)</t>
    </r>
  </si>
  <si>
    <r>
      <rPr>
        <b val="true"/>
        <sz val="11"/>
        <rFont val="Cambria"/>
        <family val="0"/>
        <charset val="1"/>
      </rPr>
      <t xml:space="preserve">SEC </t>
    </r>
    <r>
      <rPr>
        <b val="true"/>
        <sz val="11"/>
        <rFont val="WenQuanYi Zen Hei"/>
        <family val="2"/>
      </rPr>
      <t xml:space="preserve">공시</t>
    </r>
  </si>
  <si>
    <t xml:space="preserve">Micron Technology</t>
  </si>
  <si>
    <t xml:space="preserve">MU</t>
  </si>
  <si>
    <t xml:space="preserve">Information Technology</t>
  </si>
  <si>
    <r>
      <rPr>
        <sz val="11"/>
        <color theme="1"/>
        <rFont val="Calibri"/>
        <family val="2"/>
        <charset val="1"/>
      </rPr>
      <t xml:space="preserve">D</t>
    </r>
    <r>
      <rPr>
        <sz val="11"/>
        <color theme="1"/>
        <rFont val="WenQuanYi Zen Hei"/>
        <family val="2"/>
      </rPr>
      <t xml:space="preserve">램</t>
    </r>
    <r>
      <rPr>
        <sz val="11"/>
        <color theme="1"/>
        <rFont val="Calibri"/>
        <family val="2"/>
        <charset val="1"/>
      </rPr>
      <t xml:space="preserve">·</t>
    </r>
    <r>
      <rPr>
        <sz val="11"/>
        <color theme="1"/>
        <rFont val="WenQuanYi Zen Hei"/>
        <family val="2"/>
      </rPr>
      <t xml:space="preserve">낸드 메모리 반도체 제조 </t>
    </r>
    <r>
      <rPr>
        <sz val="11"/>
        <color theme="1"/>
        <rFont val="Calibri"/>
        <family val="2"/>
        <charset val="1"/>
      </rPr>
      <t xml:space="preserve">(AI </t>
    </r>
    <r>
      <rPr>
        <sz val="11"/>
        <color theme="1"/>
        <rFont val="WenQuanYi Zen Hei"/>
        <family val="2"/>
      </rPr>
      <t xml:space="preserve">서버용 </t>
    </r>
    <r>
      <rPr>
        <sz val="11"/>
        <color theme="1"/>
        <rFont val="Calibri"/>
        <family val="2"/>
        <charset val="1"/>
      </rPr>
      <t xml:space="preserve">HBM </t>
    </r>
    <r>
      <rPr>
        <sz val="11"/>
        <color theme="1"/>
        <rFont val="WenQuanYi Zen Hei"/>
        <family val="2"/>
      </rPr>
      <t xml:space="preserve">포함</t>
    </r>
    <r>
      <rPr>
        <sz val="11"/>
        <color theme="1"/>
        <rFont val="Calibri"/>
        <family val="2"/>
        <charset val="1"/>
      </rPr>
      <t xml:space="preserve">)</t>
    </r>
  </si>
  <si>
    <t xml:space="preserve">2026-05-31</t>
  </si>
  <si>
    <t xml:space="preserve">2026-06-24</t>
  </si>
  <si>
    <r>
      <rPr>
        <sz val="11"/>
        <color theme="1"/>
        <rFont val="Calibri"/>
        <family val="2"/>
        <charset val="1"/>
      </rPr>
      <t xml:space="preserve">±</t>
    </r>
    <r>
      <rPr>
        <sz val="11"/>
        <color theme="1"/>
        <rFont val="WenQuanYi Zen Hei"/>
        <family val="2"/>
      </rPr>
      <t xml:space="preserve">금액</t>
    </r>
  </si>
  <si>
    <t xml:space="preserve">Revenue $33.5 billion ± $750 million  $33.5 billion ± $750 million</t>
  </si>
  <si>
    <t xml:space="preserve">8-K 보기</t>
  </si>
  <si>
    <t xml:space="preserve">TD SYNNEX Corporation</t>
  </si>
  <si>
    <t xml:space="preserve">SNX</t>
  </si>
  <si>
    <r>
      <rPr>
        <sz val="11"/>
        <color theme="1"/>
        <rFont val="Calibri"/>
        <family val="2"/>
        <charset val="1"/>
      </rPr>
      <t xml:space="preserve">IT </t>
    </r>
    <r>
      <rPr>
        <sz val="11"/>
        <color theme="1"/>
        <rFont val="WenQuanYi Zen Hei"/>
        <family val="2"/>
      </rPr>
      <t xml:space="preserve">하드웨어</t>
    </r>
    <r>
      <rPr>
        <sz val="11"/>
        <color theme="1"/>
        <rFont val="Calibri"/>
        <family val="2"/>
        <charset val="1"/>
      </rPr>
      <t xml:space="preserve">·</t>
    </r>
    <r>
      <rPr>
        <sz val="11"/>
        <color theme="1"/>
        <rFont val="WenQuanYi Zen Hei"/>
        <family val="2"/>
      </rPr>
      <t xml:space="preserve">소프트웨어 유통</t>
    </r>
  </si>
  <si>
    <t xml:space="preserve">2026-06-25</t>
  </si>
  <si>
    <t xml:space="preserve">범위</t>
  </si>
  <si>
    <t xml:space="preserve">Revenue  $16.1 - $16.9 billion</t>
  </si>
  <si>
    <t xml:space="preserve">Kratos Defense &amp; Security Solut</t>
  </si>
  <si>
    <t xml:space="preserve">KTOS</t>
  </si>
  <si>
    <t xml:space="preserve">Industrials</t>
  </si>
  <si>
    <r>
      <rPr>
        <sz val="11"/>
        <color theme="1"/>
        <rFont val="WenQuanYi Zen Hei"/>
        <family val="2"/>
      </rPr>
      <t xml:space="preserve">군용 무인기</t>
    </r>
    <r>
      <rPr>
        <sz val="11"/>
        <color theme="1"/>
        <rFont val="Calibri"/>
        <family val="2"/>
        <charset val="1"/>
      </rPr>
      <t xml:space="preserve">·</t>
    </r>
    <r>
      <rPr>
        <sz val="11"/>
        <color theme="1"/>
        <rFont val="WenQuanYi Zen Hei"/>
        <family val="2"/>
      </rPr>
      <t xml:space="preserve">위성통신</t>
    </r>
    <r>
      <rPr>
        <sz val="11"/>
        <color theme="1"/>
        <rFont val="Calibri"/>
        <family val="2"/>
        <charset val="1"/>
      </rPr>
      <t xml:space="preserve">·</t>
    </r>
    <r>
      <rPr>
        <sz val="11"/>
        <color theme="1"/>
        <rFont val="WenQuanYi Zen Hei"/>
        <family val="2"/>
      </rPr>
      <t xml:space="preserve">미사일 등 방산 기술</t>
    </r>
  </si>
  <si>
    <t xml:space="preserve">2026-06-30</t>
  </si>
  <si>
    <t xml:space="preserve">2026-08-04</t>
  </si>
  <si>
    <t xml:space="preserve">적자전환</t>
  </si>
  <si>
    <t xml:space="preserve">Revenues $400 - $410 $1,700 - $1,760</t>
  </si>
  <si>
    <t xml:space="preserve">Intel</t>
  </si>
  <si>
    <t xml:space="preserve">INTC</t>
  </si>
  <si>
    <r>
      <rPr>
        <sz val="11"/>
        <color theme="1"/>
        <rFont val="Calibri"/>
        <family val="2"/>
        <charset val="1"/>
      </rPr>
      <t xml:space="preserve">PC·</t>
    </r>
    <r>
      <rPr>
        <sz val="11"/>
        <color theme="1"/>
        <rFont val="WenQuanYi Zen Hei"/>
        <family val="2"/>
      </rPr>
      <t xml:space="preserve">서버용 </t>
    </r>
    <r>
      <rPr>
        <sz val="11"/>
        <color theme="1"/>
        <rFont val="Calibri"/>
        <family val="2"/>
        <charset val="1"/>
      </rPr>
      <t xml:space="preserve">CPU </t>
    </r>
    <r>
      <rPr>
        <sz val="11"/>
        <color theme="1"/>
        <rFont val="WenQuanYi Zen Hei"/>
        <family val="2"/>
      </rPr>
      <t xml:space="preserve">반도체 및 파운드리</t>
    </r>
  </si>
  <si>
    <t xml:space="preserve">2026-07-23</t>
  </si>
  <si>
    <t xml:space="preserve">흑자전환</t>
  </si>
  <si>
    <t xml:space="preserve">▪ Forecasting second-quarter 2026 revenue of $13.8 billion to $14.8 billion; expecting second-quarter EPS attributable to Intel o f $0.08 and non-GAAP EPS attributable to Intel of $0.20.</t>
  </si>
  <si>
    <t xml:space="preserve">Sandisk</t>
  </si>
  <si>
    <t xml:space="preserve">SNDK</t>
  </si>
  <si>
    <r>
      <rPr>
        <sz val="11"/>
        <color theme="1"/>
        <rFont val="WenQuanYi Zen Hei"/>
        <family val="2"/>
      </rPr>
      <t xml:space="preserve">낸드 플래시 메모리</t>
    </r>
    <r>
      <rPr>
        <sz val="11"/>
        <color theme="1"/>
        <rFont val="Calibri"/>
        <family val="2"/>
        <charset val="1"/>
      </rPr>
      <t xml:space="preserve">·SSD </t>
    </r>
    <r>
      <rPr>
        <sz val="11"/>
        <color theme="1"/>
        <rFont val="WenQuanYi Zen Hei"/>
        <family val="2"/>
      </rPr>
      <t xml:space="preserve">등 데이터 저장장치 제조 </t>
    </r>
    <r>
      <rPr>
        <sz val="11"/>
        <color theme="1"/>
        <rFont val="Calibri"/>
        <family val="2"/>
        <charset val="1"/>
      </rPr>
      <t xml:space="preserve">(WD</t>
    </r>
    <r>
      <rPr>
        <sz val="11"/>
        <color theme="1"/>
        <rFont val="WenQuanYi Zen Hei"/>
        <family val="2"/>
      </rPr>
      <t xml:space="preserve">에서 분사</t>
    </r>
    <r>
      <rPr>
        <sz val="11"/>
        <color theme="1"/>
        <rFont val="Calibri"/>
        <family val="2"/>
        <charset val="1"/>
      </rPr>
      <t xml:space="preserve">)</t>
    </r>
  </si>
  <si>
    <t xml:space="preserve">2026-08-05</t>
  </si>
  <si>
    <t xml:space="preserve">• Expect fourth quarter revenue to be in the range of $7.75 billion to $8.25 billion, with expected Non-GAAP diluted net income per share to be in the range of $30.00 to $33.00.</t>
  </si>
  <si>
    <t xml:space="preserve">Forgent Power Solutions, Inc.</t>
  </si>
  <si>
    <t xml:space="preserve">FPS</t>
  </si>
  <si>
    <r>
      <rPr>
        <sz val="11"/>
        <color theme="1"/>
        <rFont val="WenQuanYi Zen Hei"/>
        <family val="2"/>
      </rPr>
      <t xml:space="preserve">데이터센터</t>
    </r>
    <r>
      <rPr>
        <sz val="11"/>
        <color theme="1"/>
        <rFont val="Calibri"/>
        <family val="2"/>
        <charset val="1"/>
      </rPr>
      <t xml:space="preserve">·</t>
    </r>
    <r>
      <rPr>
        <sz val="11"/>
        <color theme="1"/>
        <rFont val="WenQuanYi Zen Hei"/>
        <family val="2"/>
      </rPr>
      <t xml:space="preserve">전력망용 배전 장비</t>
    </r>
  </si>
  <si>
    <t xml:space="preserve">2026-09-15</t>
  </si>
  <si>
    <t xml:space="preserve">Revenues $392 - $432  $1,350 - $1,390</t>
  </si>
  <si>
    <t xml:space="preserve">Reddit</t>
  </si>
  <si>
    <t xml:space="preserve">RDDT</t>
  </si>
  <si>
    <t xml:space="preserve">Communication</t>
  </si>
  <si>
    <r>
      <rPr>
        <sz val="11"/>
        <color theme="1"/>
        <rFont val="WenQuanYi Zen Hei"/>
        <family val="2"/>
      </rPr>
      <t xml:space="preserve">온라인 커뮤니티 플랫폼 레딧 운영 </t>
    </r>
    <r>
      <rPr>
        <sz val="11"/>
        <color theme="1"/>
        <rFont val="Calibri"/>
        <family val="2"/>
        <charset val="1"/>
      </rPr>
      <t xml:space="preserve">(</t>
    </r>
    <r>
      <rPr>
        <sz val="11"/>
        <color theme="1"/>
        <rFont val="WenQuanYi Zen Hei"/>
        <family val="2"/>
      </rPr>
      <t xml:space="preserve">광고</t>
    </r>
    <r>
      <rPr>
        <sz val="11"/>
        <color theme="1"/>
        <rFont val="Calibri"/>
        <family val="2"/>
        <charset val="1"/>
      </rPr>
      <t xml:space="preserve">·</t>
    </r>
    <r>
      <rPr>
        <sz val="11"/>
        <color theme="1"/>
        <rFont val="WenQuanYi Zen Hei"/>
        <family val="2"/>
      </rPr>
      <t xml:space="preserve">데이터 라이선스</t>
    </r>
    <r>
      <rPr>
        <sz val="11"/>
        <color theme="1"/>
        <rFont val="Calibri"/>
        <family val="2"/>
        <charset val="1"/>
      </rPr>
      <t xml:space="preserve">)</t>
    </r>
  </si>
  <si>
    <t xml:space="preserve">2026-07-30</t>
  </si>
  <si>
    <t xml:space="preserve">• Revenue in the range of $715 million to $725 million</t>
  </si>
  <si>
    <t xml:space="preserve">Avnet, Inc.</t>
  </si>
  <si>
    <t xml:space="preserve">AVT</t>
  </si>
  <si>
    <t xml:space="preserve">전자부품 유통</t>
  </si>
  <si>
    <t xml:space="preserve">Sales ​ $7.30B – $7.60B</t>
  </si>
  <si>
    <t xml:space="preserve">Planet Labs PBC</t>
  </si>
  <si>
    <t xml:space="preserve">PL</t>
  </si>
  <si>
    <t xml:space="preserve">지구관측 소형위성 영상 데이터</t>
  </si>
  <si>
    <t xml:space="preserve">2026-07-31</t>
  </si>
  <si>
    <t xml:space="preserve">2026-09-03</t>
  </si>
  <si>
    <t xml:space="preserve">N/M</t>
  </si>
  <si>
    <t xml:space="preserve">For the second quarter of fiscal year 2027, ending July 31, 2026, Planet expects revenue to be in the range of approximately $102 million to $107 million.</t>
  </si>
  <si>
    <t xml:space="preserve">NetApp</t>
  </si>
  <si>
    <t xml:space="preserve">NTAP</t>
  </si>
  <si>
    <r>
      <rPr>
        <sz val="11"/>
        <color theme="1"/>
        <rFont val="WenQuanYi Zen Hei"/>
        <family val="2"/>
      </rPr>
      <t xml:space="preserve">기업용 데이터 스토리지</t>
    </r>
    <r>
      <rPr>
        <sz val="11"/>
        <color theme="1"/>
        <rFont val="Calibri"/>
        <family val="2"/>
        <charset val="1"/>
      </rPr>
      <t xml:space="preserve">(</t>
    </r>
    <r>
      <rPr>
        <sz val="11"/>
        <color theme="1"/>
        <rFont val="WenQuanYi Zen Hei"/>
        <family val="2"/>
      </rPr>
      <t xml:space="preserve">올플래시</t>
    </r>
    <r>
      <rPr>
        <sz val="11"/>
        <color theme="1"/>
        <rFont val="Calibri"/>
        <family val="2"/>
        <charset val="1"/>
      </rPr>
      <t xml:space="preserve">·</t>
    </r>
    <r>
      <rPr>
        <sz val="11"/>
        <color theme="1"/>
        <rFont val="WenQuanYi Zen Hei"/>
        <family val="2"/>
      </rPr>
      <t xml:space="preserve">하이브리드 클라우드</t>
    </r>
    <r>
      <rPr>
        <sz val="11"/>
        <color theme="1"/>
        <rFont val="Calibri"/>
        <family val="2"/>
        <charset val="1"/>
      </rPr>
      <t xml:space="preserve">) </t>
    </r>
    <r>
      <rPr>
        <sz val="11"/>
        <color theme="1"/>
        <rFont val="WenQuanYi Zen Hei"/>
        <family val="2"/>
      </rPr>
      <t xml:space="preserve">및 데이터 관리 소프트웨어</t>
    </r>
  </si>
  <si>
    <t xml:space="preserve">2026-09-02</t>
  </si>
  <si>
    <t xml:space="preserve">Net revenues are expected to be in the range of: $1.750 billion - $1.900 billion</t>
  </si>
  <si>
    <t xml:space="preserve">Teradyne</t>
  </si>
  <si>
    <t xml:space="preserve">TER</t>
  </si>
  <si>
    <r>
      <rPr>
        <sz val="11"/>
        <color theme="1"/>
        <rFont val="WenQuanYi Zen Hei"/>
        <family val="2"/>
      </rPr>
      <t xml:space="preserve">반도체</t>
    </r>
    <r>
      <rPr>
        <sz val="11"/>
        <color theme="1"/>
        <rFont val="Calibri"/>
        <family val="2"/>
        <charset val="1"/>
      </rPr>
      <t xml:space="preserve">·</t>
    </r>
    <r>
      <rPr>
        <sz val="11"/>
        <color theme="1"/>
        <rFont val="WenQuanYi Zen Hei"/>
        <family val="2"/>
      </rPr>
      <t xml:space="preserve">전자기기 자동 테스트 장비</t>
    </r>
    <r>
      <rPr>
        <sz val="11"/>
        <color theme="1"/>
        <rFont val="Calibri"/>
        <family val="2"/>
        <charset val="1"/>
      </rPr>
      <t xml:space="preserve">(ATE) </t>
    </r>
    <r>
      <rPr>
        <sz val="11"/>
        <color theme="1"/>
        <rFont val="WenQuanYi Zen Hei"/>
        <family val="2"/>
      </rPr>
      <t xml:space="preserve">및 협동로봇</t>
    </r>
  </si>
  <si>
    <t xml:space="preserve">2026-07-29</t>
  </si>
  <si>
    <t xml:space="preserve">Guidance for the second quarter of 2026 is revenue of $1,150 million to $1,250 million, with GAAP net income of $1.83 to $2.12 per diluted share and non-GAAP net income of $1.86 to $2.15 per diluted share.</t>
  </si>
  <si>
    <t xml:space="preserve">James Hardie Industries plc.</t>
  </si>
  <si>
    <t xml:space="preserve">JHX</t>
  </si>
  <si>
    <t xml:space="preserve">Materials</t>
  </si>
  <si>
    <r>
      <rPr>
        <sz val="11"/>
        <color theme="1"/>
        <rFont val="WenQuanYi Zen Hei"/>
        <family val="2"/>
      </rPr>
      <t xml:space="preserve">섬유시멘트 사이딩</t>
    </r>
    <r>
      <rPr>
        <sz val="11"/>
        <color theme="1"/>
        <rFont val="Calibri"/>
        <family val="2"/>
        <charset val="1"/>
      </rPr>
      <t xml:space="preserve">·</t>
    </r>
    <r>
      <rPr>
        <sz val="11"/>
        <color theme="1"/>
        <rFont val="WenQuanYi Zen Hei"/>
        <family val="2"/>
      </rPr>
      <t xml:space="preserve">합성목재 데크</t>
    </r>
    <r>
      <rPr>
        <sz val="11"/>
        <color theme="1"/>
        <rFont val="Calibri"/>
        <family val="2"/>
        <charset val="1"/>
      </rPr>
      <t xml:space="preserve">(AZEK </t>
    </r>
    <r>
      <rPr>
        <sz val="11"/>
        <color theme="1"/>
        <rFont val="WenQuanYi Zen Hei"/>
        <family val="2"/>
      </rPr>
      <t xml:space="preserve">인수</t>
    </r>
    <r>
      <rPr>
        <sz val="11"/>
        <color theme="1"/>
        <rFont val="Calibri"/>
        <family val="2"/>
        <charset val="1"/>
      </rPr>
      <t xml:space="preserve">) </t>
    </r>
    <r>
      <rPr>
        <sz val="11"/>
        <color theme="1"/>
        <rFont val="WenQuanYi Zen Hei"/>
        <family val="2"/>
      </rPr>
      <t xml:space="preserve">등 건축 외장재</t>
    </r>
  </si>
  <si>
    <t xml:space="preserve">• Total Net Sales: $1.32 to $1.35 billion</t>
  </si>
  <si>
    <t xml:space="preserve">Monolithic Power Systems</t>
  </si>
  <si>
    <t xml:space="preserve">MPWR</t>
  </si>
  <si>
    <r>
      <rPr>
        <sz val="11"/>
        <color theme="1"/>
        <rFont val="WenQuanYi Zen Hei"/>
        <family val="2"/>
      </rPr>
      <t xml:space="preserve">전력관리 반도체</t>
    </r>
    <r>
      <rPr>
        <sz val="11"/>
        <color theme="1"/>
        <rFont val="Calibri"/>
        <family val="2"/>
        <charset val="1"/>
      </rPr>
      <t xml:space="preserve">(</t>
    </r>
    <r>
      <rPr>
        <sz val="11"/>
        <color theme="1"/>
        <rFont val="WenQuanYi Zen Hei"/>
        <family val="2"/>
      </rPr>
      <t xml:space="preserve">전원 </t>
    </r>
    <r>
      <rPr>
        <sz val="11"/>
        <color theme="1"/>
        <rFont val="Calibri"/>
        <family val="2"/>
        <charset val="1"/>
      </rPr>
      <t xml:space="preserve">IC) </t>
    </r>
    <r>
      <rPr>
        <sz val="11"/>
        <color theme="1"/>
        <rFont val="WenQuanYi Zen Hei"/>
        <family val="2"/>
      </rPr>
      <t xml:space="preserve">설계</t>
    </r>
  </si>
  <si>
    <t xml:space="preserve">Revenue in the range of $890 million to $910 million.</t>
  </si>
  <si>
    <t xml:space="preserve">Fortinet</t>
  </si>
  <si>
    <t xml:space="preserve">FTNT</t>
  </si>
  <si>
    <r>
      <rPr>
        <sz val="11"/>
        <color theme="1"/>
        <rFont val="WenQuanYi Zen Hei"/>
        <family val="2"/>
      </rPr>
      <t xml:space="preserve">방화벽</t>
    </r>
    <r>
      <rPr>
        <sz val="11"/>
        <color theme="1"/>
        <rFont val="Calibri"/>
        <family val="2"/>
        <charset val="1"/>
      </rPr>
      <t xml:space="preserve">·</t>
    </r>
    <r>
      <rPr>
        <sz val="11"/>
        <color theme="1"/>
        <rFont val="WenQuanYi Zen Hei"/>
        <family val="2"/>
      </rPr>
      <t xml:space="preserve">네트워크 보안 장비 및 소프트웨어</t>
    </r>
  </si>
  <si>
    <t xml:space="preserve">• Revenue in the range of $1.830 billion to $1.930 billion</t>
  </si>
  <si>
    <t xml:space="preserve">Lattice Semiconductor Corporati</t>
  </si>
  <si>
    <t xml:space="preserve">LSCC</t>
  </si>
  <si>
    <r>
      <rPr>
        <sz val="11"/>
        <color theme="1"/>
        <rFont val="WenQuanYi Zen Hei"/>
        <family val="2"/>
      </rPr>
      <t xml:space="preserve">저전력 </t>
    </r>
    <r>
      <rPr>
        <sz val="11"/>
        <color theme="1"/>
        <rFont val="Calibri"/>
        <family val="2"/>
        <charset val="1"/>
      </rPr>
      <t xml:space="preserve">FPGA </t>
    </r>
    <r>
      <rPr>
        <sz val="11"/>
        <color theme="1"/>
        <rFont val="WenQuanYi Zen Hei"/>
        <family val="2"/>
      </rPr>
      <t xml:space="preserve">반도체</t>
    </r>
  </si>
  <si>
    <t xml:space="preserve">Revenue for the second quarter of 2026 is expected to be between $175 million and $195 million.</t>
  </si>
  <si>
    <t xml:space="preserve">Arista Networks</t>
  </si>
  <si>
    <t xml:space="preserve">ANET</t>
  </si>
  <si>
    <r>
      <rPr>
        <sz val="11"/>
        <color theme="1"/>
        <rFont val="WenQuanYi Zen Hei"/>
        <family val="2"/>
      </rPr>
      <t xml:space="preserve">데이터센터</t>
    </r>
    <r>
      <rPr>
        <sz val="11"/>
        <color theme="1"/>
        <rFont val="Calibri"/>
        <family val="2"/>
        <charset val="1"/>
      </rPr>
      <t xml:space="preserve">·AI </t>
    </r>
    <r>
      <rPr>
        <sz val="11"/>
        <color theme="1"/>
        <rFont val="WenQuanYi Zen Hei"/>
        <family val="2"/>
      </rPr>
      <t xml:space="preserve">클러스터용 고속 네트워크 스위치</t>
    </r>
  </si>
  <si>
    <t xml:space="preserve">단일값</t>
  </si>
  <si>
    <t xml:space="preserve">• Revenue of approximately $2.8 billion;</t>
  </si>
  <si>
    <t xml:space="preserve">Rubrik, Inc.</t>
  </si>
  <si>
    <t xml:space="preserve">RBRK</t>
  </si>
  <si>
    <r>
      <rPr>
        <sz val="11"/>
        <color theme="1"/>
        <rFont val="WenQuanYi Zen Hei"/>
        <family val="2"/>
      </rPr>
      <t xml:space="preserve">데이터 보안</t>
    </r>
    <r>
      <rPr>
        <sz val="11"/>
        <color theme="1"/>
        <rFont val="Calibri"/>
        <family val="2"/>
        <charset val="1"/>
      </rPr>
      <t xml:space="preserve">·</t>
    </r>
    <r>
      <rPr>
        <sz val="11"/>
        <color theme="1"/>
        <rFont val="WenQuanYi Zen Hei"/>
        <family val="2"/>
      </rPr>
      <t xml:space="preserve">백업 소프트웨어</t>
    </r>
  </si>
  <si>
    <t xml:space="preserve">2026-08-27</t>
  </si>
  <si>
    <t xml:space="preserve">▪ Revenue of $395 million to $397 million.</t>
  </si>
  <si>
    <t xml:space="preserve">Everpure</t>
  </si>
  <si>
    <t xml:space="preserve">P</t>
  </si>
  <si>
    <r>
      <rPr>
        <sz val="11"/>
        <color theme="1"/>
        <rFont val="WenQuanYi Zen Hei"/>
        <family val="2"/>
      </rPr>
      <t xml:space="preserve">기업용 올플래시 데이터 스토리지 </t>
    </r>
    <r>
      <rPr>
        <sz val="11"/>
        <color theme="1"/>
        <rFont val="Calibri"/>
        <family val="2"/>
        <charset val="1"/>
      </rPr>
      <t xml:space="preserve">(</t>
    </r>
    <r>
      <rPr>
        <sz val="11"/>
        <color theme="1"/>
        <rFont val="WenQuanYi Zen Hei"/>
        <family val="2"/>
      </rPr>
      <t xml:space="preserve">구 </t>
    </r>
    <r>
      <rPr>
        <sz val="11"/>
        <color theme="1"/>
        <rFont val="Calibri"/>
        <family val="2"/>
        <charset val="1"/>
      </rPr>
      <t xml:space="preserve">Pure Storage)</t>
    </r>
  </si>
  <si>
    <t xml:space="preserve">2026-08-26</t>
  </si>
  <si>
    <t xml:space="preserve">Revenue $1.095B to $1.105B</t>
  </si>
  <si>
    <t xml:space="preserve">FormFactor, Inc.</t>
  </si>
  <si>
    <t xml:space="preserve">FORM</t>
  </si>
  <si>
    <t xml:space="preserve">반도체 테스트용 프로브카드</t>
  </si>
  <si>
    <t xml:space="preserve">Revenue  $240 million +/- $5 million</t>
  </si>
  <si>
    <t xml:space="preserve">Palantir Technologies</t>
  </si>
  <si>
    <t xml:space="preserve">PLTR</t>
  </si>
  <si>
    <r>
      <rPr>
        <sz val="11"/>
        <color theme="1"/>
        <rFont val="WenQuanYi Zen Hei"/>
        <family val="2"/>
      </rPr>
      <t xml:space="preserve">정부</t>
    </r>
    <r>
      <rPr>
        <sz val="11"/>
        <color theme="1"/>
        <rFont val="Calibri"/>
        <family val="2"/>
        <charset val="1"/>
      </rPr>
      <t xml:space="preserve">·</t>
    </r>
    <r>
      <rPr>
        <sz val="11"/>
        <color theme="1"/>
        <rFont val="WenQuanYi Zen Hei"/>
        <family val="2"/>
      </rPr>
      <t xml:space="preserve">기업용 빅데이터 분석 및 </t>
    </r>
    <r>
      <rPr>
        <sz val="11"/>
        <color theme="1"/>
        <rFont val="Calibri"/>
        <family val="2"/>
        <charset val="1"/>
      </rPr>
      <t xml:space="preserve">AI </t>
    </r>
    <r>
      <rPr>
        <sz val="11"/>
        <color theme="1"/>
        <rFont val="WenQuanYi Zen Hei"/>
        <family val="2"/>
      </rPr>
      <t xml:space="preserve">소프트웨어 플랫폼</t>
    </r>
  </si>
  <si>
    <t xml:space="preserve">2026-08-03</t>
  </si>
  <si>
    <t xml:space="preserve">• Revenue of between $1.797 – $1.801 billion.</t>
  </si>
  <si>
    <t xml:space="preserve">Amphenol</t>
  </si>
  <si>
    <t xml:space="preserve">APH</t>
  </si>
  <si>
    <r>
      <rPr>
        <sz val="11"/>
        <color theme="1"/>
        <rFont val="WenQuanYi Zen Hei"/>
        <family val="2"/>
      </rPr>
      <t xml:space="preserve">커넥터</t>
    </r>
    <r>
      <rPr>
        <sz val="11"/>
        <color theme="1"/>
        <rFont val="Calibri"/>
        <family val="2"/>
        <charset val="1"/>
      </rPr>
      <t xml:space="preserve">·</t>
    </r>
    <r>
      <rPr>
        <sz val="11"/>
        <color theme="1"/>
        <rFont val="WenQuanYi Zen Hei"/>
        <family val="2"/>
      </rPr>
      <t xml:space="preserve">케이블</t>
    </r>
    <r>
      <rPr>
        <sz val="11"/>
        <color theme="1"/>
        <rFont val="Calibri"/>
        <family val="2"/>
        <charset val="1"/>
      </rPr>
      <t xml:space="preserve">·</t>
    </r>
    <r>
      <rPr>
        <sz val="11"/>
        <color theme="1"/>
        <rFont val="WenQuanYi Zen Hei"/>
        <family val="2"/>
      </rPr>
      <t xml:space="preserve">센서 등 전자 연결 부품</t>
    </r>
  </si>
  <si>
    <t xml:space="preserve">Assuming the continuation of current market conditions as well as constant exchange rates, for the second quarter of 2026, Amphenol expects sales to be in the range of $8.1 billion to $8.2 billion, representing a 43% to 45% increase over the prior year quarter.</t>
  </si>
  <si>
    <t xml:space="preserve">Unity Software Inc.</t>
  </si>
  <si>
    <t xml:space="preserve">U</t>
  </si>
  <si>
    <r>
      <rPr>
        <sz val="11"/>
        <color theme="1"/>
        <rFont val="WenQuanYi Zen Hei"/>
        <family val="2"/>
      </rPr>
      <t xml:space="preserve">게임</t>
    </r>
    <r>
      <rPr>
        <sz val="11"/>
        <color theme="1"/>
        <rFont val="Calibri"/>
        <family val="2"/>
        <charset val="1"/>
      </rPr>
      <t xml:space="preserve">·</t>
    </r>
    <r>
      <rPr>
        <sz val="11"/>
        <color theme="1"/>
        <rFont val="WenQuanYi Zen Hei"/>
        <family val="2"/>
      </rPr>
      <t xml:space="preserve">실시간 </t>
    </r>
    <r>
      <rPr>
        <sz val="11"/>
        <color theme="1"/>
        <rFont val="Calibri"/>
        <family val="2"/>
        <charset val="1"/>
      </rPr>
      <t xml:space="preserve">3D </t>
    </r>
    <r>
      <rPr>
        <sz val="11"/>
        <color theme="1"/>
        <rFont val="WenQuanYi Zen Hei"/>
        <family val="2"/>
      </rPr>
      <t xml:space="preserve">콘텐츠 개발 엔진 및 모바일 광고 플랫폼</t>
    </r>
  </si>
  <si>
    <t xml:space="preserve">2026-08-06</t>
  </si>
  <si>
    <t xml:space="preserve">• Total Revenue of $505 million to $515 million.</t>
  </si>
  <si>
    <t xml:space="preserve">Atlassian Corporation</t>
  </si>
  <si>
    <t xml:space="preserve">TEAM</t>
  </si>
  <si>
    <r>
      <rPr>
        <sz val="11"/>
        <color theme="1"/>
        <rFont val="WenQuanYi Zen Hei"/>
        <family val="2"/>
      </rPr>
      <t xml:space="preserve">협업</t>
    </r>
    <r>
      <rPr>
        <sz val="11"/>
        <color theme="1"/>
        <rFont val="Calibri"/>
        <family val="2"/>
        <charset val="1"/>
      </rPr>
      <t xml:space="preserve">·</t>
    </r>
    <r>
      <rPr>
        <sz val="11"/>
        <color theme="1"/>
        <rFont val="WenQuanYi Zen Hei"/>
        <family val="2"/>
      </rPr>
      <t xml:space="preserve">개발자용 소프트웨어 </t>
    </r>
    <r>
      <rPr>
        <sz val="11"/>
        <color theme="1"/>
        <rFont val="Calibri"/>
        <family val="2"/>
        <charset val="1"/>
      </rPr>
      <t xml:space="preserve">(</t>
    </r>
    <r>
      <rPr>
        <sz val="11"/>
        <color theme="1"/>
        <rFont val="WenQuanYi Zen Hei"/>
        <family val="2"/>
      </rPr>
      <t xml:space="preserve">지라</t>
    </r>
    <r>
      <rPr>
        <sz val="11"/>
        <color theme="1"/>
        <rFont val="Calibri"/>
        <family val="2"/>
        <charset val="1"/>
      </rPr>
      <t xml:space="preserve">·</t>
    </r>
    <r>
      <rPr>
        <sz val="11"/>
        <color theme="1"/>
        <rFont val="WenQuanYi Zen Hei"/>
        <family val="2"/>
      </rPr>
      <t xml:space="preserve">컨플루언스</t>
    </r>
    <r>
      <rPr>
        <sz val="11"/>
        <color theme="1"/>
        <rFont val="Calibri"/>
        <family val="2"/>
        <charset val="1"/>
      </rPr>
      <t xml:space="preserve">)</t>
    </r>
  </si>
  <si>
    <t xml:space="preserve">Q3 FY26 18 Q4’26 Outlook TOTAL REVENUE For Q4’26, we expect total company revenue to be in the range of $1,653 million to $1,661 million.</t>
  </si>
  <si>
    <t xml:space="preserve">Entegris, Inc.</t>
  </si>
  <si>
    <t xml:space="preserve">ENTG</t>
  </si>
  <si>
    <r>
      <rPr>
        <sz val="11"/>
        <color theme="1"/>
        <rFont val="WenQuanYi Zen Hei"/>
        <family val="2"/>
      </rPr>
      <t xml:space="preserve">반도체 공정용 특수소재</t>
    </r>
    <r>
      <rPr>
        <sz val="11"/>
        <color theme="1"/>
        <rFont val="Calibri"/>
        <family val="2"/>
        <charset val="1"/>
      </rPr>
      <t xml:space="preserve">·</t>
    </r>
    <r>
      <rPr>
        <sz val="11"/>
        <color theme="1"/>
        <rFont val="WenQuanYi Zen Hei"/>
        <family val="2"/>
      </rPr>
      <t xml:space="preserve">필터</t>
    </r>
    <r>
      <rPr>
        <sz val="11"/>
        <color theme="1"/>
        <rFont val="Calibri"/>
        <family val="2"/>
        <charset val="1"/>
      </rPr>
      <t xml:space="preserve">·</t>
    </r>
    <r>
      <rPr>
        <sz val="11"/>
        <color theme="1"/>
        <rFont val="WenQuanYi Zen Hei"/>
        <family val="2"/>
      </rPr>
      <t xml:space="preserve">웨이퍼 취급 용기</t>
    </r>
  </si>
  <si>
    <t xml:space="preserve">For the Company’s guidance for the second quarter ending June 27, 2026, the Company expects sales of $815 million to $845 million.</t>
  </si>
  <si>
    <t xml:space="preserve">Advanced Energy Industries, Inc</t>
  </si>
  <si>
    <t xml:space="preserve">AEIS</t>
  </si>
  <si>
    <r>
      <rPr>
        <sz val="11"/>
        <color theme="1"/>
        <rFont val="WenQuanYi Zen Hei"/>
        <family val="2"/>
      </rPr>
      <t xml:space="preserve">반도체 장비</t>
    </r>
    <r>
      <rPr>
        <sz val="11"/>
        <color theme="1"/>
        <rFont val="Calibri"/>
        <family val="2"/>
        <charset val="1"/>
      </rPr>
      <t xml:space="preserve">·</t>
    </r>
    <r>
      <rPr>
        <sz val="11"/>
        <color theme="1"/>
        <rFont val="WenQuanYi Zen Hei"/>
        <family val="2"/>
      </rPr>
      <t xml:space="preserve">데이터센터용 정밀 전력 변환 장치</t>
    </r>
  </si>
  <si>
    <t xml:space="preserve">Revenue $540 million +/- $20 million</t>
  </si>
  <si>
    <t xml:space="preserve">Solstice Advanced Materials Inc</t>
  </si>
  <si>
    <t xml:space="preserve">SOLS</t>
  </si>
  <si>
    <r>
      <rPr>
        <sz val="11"/>
        <color theme="1"/>
        <rFont val="WenQuanYi Zen Hei"/>
        <family val="2"/>
      </rPr>
      <t xml:space="preserve">냉매</t>
    </r>
    <r>
      <rPr>
        <sz val="11"/>
        <color theme="1"/>
        <rFont val="Calibri"/>
        <family val="2"/>
        <charset val="1"/>
      </rPr>
      <t xml:space="preserve">·</t>
    </r>
    <r>
      <rPr>
        <sz val="11"/>
        <color theme="1"/>
        <rFont val="WenQuanYi Zen Hei"/>
        <family val="2"/>
      </rPr>
      <t xml:space="preserve">반도체 소재 등 특수화학 </t>
    </r>
    <r>
      <rPr>
        <sz val="11"/>
        <color theme="1"/>
        <rFont val="Calibri"/>
        <family val="2"/>
        <charset val="1"/>
      </rPr>
      <t xml:space="preserve">(</t>
    </r>
    <r>
      <rPr>
        <sz val="11"/>
        <color theme="1"/>
        <rFont val="WenQuanYi Zen Hei"/>
        <family val="2"/>
      </rPr>
      <t xml:space="preserve">하니웰 분사</t>
    </r>
    <r>
      <rPr>
        <sz val="11"/>
        <color theme="1"/>
        <rFont val="Calibri"/>
        <family val="2"/>
        <charset val="1"/>
      </rPr>
      <t xml:space="preserve">)</t>
    </r>
  </si>
  <si>
    <t xml:space="preserve">• Net Sales in a range of $1.06 billion to $1.1 billion; and • Adjusted EBITDA Margin 1 in a range of 25% to 26%.</t>
  </si>
  <si>
    <t xml:space="preserve">Keysight Technologies</t>
  </si>
  <si>
    <t xml:space="preserve">KEYS</t>
  </si>
  <si>
    <r>
      <rPr>
        <sz val="11"/>
        <color theme="1"/>
        <rFont val="WenQuanYi Zen Hei"/>
        <family val="2"/>
      </rPr>
      <t xml:space="preserve">전자 계측</t>
    </r>
    <r>
      <rPr>
        <sz val="11"/>
        <color theme="1"/>
        <rFont val="Calibri"/>
        <family val="2"/>
        <charset val="1"/>
      </rPr>
      <t xml:space="preserve">·</t>
    </r>
    <r>
      <rPr>
        <sz val="11"/>
        <color theme="1"/>
        <rFont val="WenQuanYi Zen Hei"/>
        <family val="2"/>
      </rPr>
      <t xml:space="preserve">시험 장비 및 설계 소프트웨어</t>
    </r>
  </si>
  <si>
    <t xml:space="preserve">2026-08-18</t>
  </si>
  <si>
    <t xml:space="preserve">Keysight’s third fiscal quarter of 2026 revenue is expected to be in the range of $1.730 billion to $1.750 billion.</t>
  </si>
  <si>
    <t xml:space="preserve">Figma, Inc.</t>
  </si>
  <si>
    <t xml:space="preserve">FIG</t>
  </si>
  <si>
    <r>
      <rPr>
        <sz val="11"/>
        <color theme="1"/>
        <rFont val="WenQuanYi Zen Hei"/>
        <family val="2"/>
      </rPr>
      <t xml:space="preserve">협업형 디자인 소프트웨어 </t>
    </r>
    <r>
      <rPr>
        <sz val="11"/>
        <color theme="1"/>
        <rFont val="Calibri"/>
        <family val="2"/>
        <charset val="1"/>
      </rPr>
      <t xml:space="preserve">(</t>
    </r>
    <r>
      <rPr>
        <sz val="11"/>
        <color theme="1"/>
        <rFont val="WenQuanYi Zen Hei"/>
        <family val="2"/>
      </rPr>
      <t xml:space="preserve">피그마</t>
    </r>
    <r>
      <rPr>
        <sz val="11"/>
        <color theme="1"/>
        <rFont val="Calibri"/>
        <family val="2"/>
        <charset val="1"/>
      </rPr>
      <t xml:space="preserve">)</t>
    </r>
  </si>
  <si>
    <t xml:space="preserve">• Revenue between $348.0 million and $350.0 million, implying 40% year-over-year growth at the midpoint of the range.</t>
  </si>
  <si>
    <t xml:space="preserve">Five Below, Inc.</t>
  </si>
  <si>
    <t xml:space="preserve">FIVE</t>
  </si>
  <si>
    <t xml:space="preserve">Consumer Discretionary</t>
  </si>
  <si>
    <r>
      <rPr>
        <sz val="11"/>
        <color theme="1"/>
        <rFont val="Calibri"/>
        <family val="2"/>
        <charset val="1"/>
      </rPr>
      <t xml:space="preserve">10</t>
    </r>
    <r>
      <rPr>
        <sz val="11"/>
        <color theme="1"/>
        <rFont val="WenQuanYi Zen Hei"/>
        <family val="2"/>
      </rPr>
      <t xml:space="preserve">대</t>
    </r>
    <r>
      <rPr>
        <sz val="11"/>
        <color theme="1"/>
        <rFont val="Calibri"/>
        <family val="2"/>
        <charset val="1"/>
      </rPr>
      <t xml:space="preserve">·</t>
    </r>
    <r>
      <rPr>
        <sz val="11"/>
        <color theme="1"/>
        <rFont val="WenQuanYi Zen Hei"/>
        <family val="2"/>
      </rPr>
      <t xml:space="preserve">청소년 대상 저가 잡화 할인점 </t>
    </r>
    <r>
      <rPr>
        <sz val="11"/>
        <color theme="1"/>
        <rFont val="Calibri"/>
        <family val="2"/>
        <charset val="1"/>
      </rPr>
      <t xml:space="preserve">(Five Below)</t>
    </r>
  </si>
  <si>
    <t xml:space="preserve">• Net sales are expected to be in the range of $1.18 billion to $1.20 billion based on opening approximately 50 new stores and assumes an approximate 7% to 9% increase in comparable sales.</t>
  </si>
  <si>
    <t xml:space="preserve">Arrow Electronics, Inc.</t>
  </si>
  <si>
    <t xml:space="preserve">ARW</t>
  </si>
  <si>
    <r>
      <rPr>
        <sz val="11"/>
        <color theme="1"/>
        <rFont val="WenQuanYi Zen Hei"/>
        <family val="2"/>
      </rPr>
      <t xml:space="preserve">전자부품</t>
    </r>
    <r>
      <rPr>
        <sz val="11"/>
        <color theme="1"/>
        <rFont val="Calibri"/>
        <family val="2"/>
        <charset val="1"/>
      </rPr>
      <t xml:space="preserve">·</t>
    </r>
    <r>
      <rPr>
        <sz val="11"/>
        <color theme="1"/>
        <rFont val="WenQuanYi Zen Hei"/>
        <family val="2"/>
      </rPr>
      <t xml:space="preserve">기업용 </t>
    </r>
    <r>
      <rPr>
        <sz val="11"/>
        <color theme="1"/>
        <rFont val="Calibri"/>
        <family val="2"/>
        <charset val="1"/>
      </rPr>
      <t xml:space="preserve">IT </t>
    </r>
    <r>
      <rPr>
        <sz val="11"/>
        <color theme="1"/>
        <rFont val="WenQuanYi Zen Hei"/>
        <family val="2"/>
      </rPr>
      <t xml:space="preserve">솔루션 유통</t>
    </r>
  </si>
  <si>
    <t xml:space="preserve">● C onsolidated sales of $9.15 billion to $9.75 billion, with global components sales of $6.80 billion to $7.20 billion, and global enterprise computing solutions sales of $2.35 billion to $2.55 billion</t>
  </si>
  <si>
    <t xml:space="preserve">Nvidia</t>
  </si>
  <si>
    <t xml:space="preserve">NVDA</t>
  </si>
  <si>
    <r>
      <rPr>
        <sz val="11"/>
        <color theme="1"/>
        <rFont val="Calibri"/>
        <family val="2"/>
        <charset val="1"/>
      </rPr>
      <t xml:space="preserve">AI </t>
    </r>
    <r>
      <rPr>
        <sz val="11"/>
        <color theme="1"/>
        <rFont val="WenQuanYi Zen Hei"/>
        <family val="2"/>
      </rPr>
      <t xml:space="preserve">가속기</t>
    </r>
    <r>
      <rPr>
        <sz val="11"/>
        <color theme="1"/>
        <rFont val="Calibri"/>
        <family val="2"/>
        <charset val="1"/>
      </rPr>
      <t xml:space="preserve">(GPU)·</t>
    </r>
    <r>
      <rPr>
        <sz val="11"/>
        <color theme="1"/>
        <rFont val="WenQuanYi Zen Hei"/>
        <family val="2"/>
      </rPr>
      <t xml:space="preserve">데이터센터 플랫폼 및 게이밍 </t>
    </r>
    <r>
      <rPr>
        <sz val="11"/>
        <color theme="1"/>
        <rFont val="Calibri"/>
        <family val="2"/>
        <charset val="1"/>
      </rPr>
      <t xml:space="preserve">GPU</t>
    </r>
  </si>
  <si>
    <t xml:space="preserve">±%</t>
  </si>
  <si>
    <t xml:space="preserve">• Revenue is expected to be $91.0 billion, plus or minus 2%.</t>
  </si>
  <si>
    <t xml:space="preserve">Flex Ltd.</t>
  </si>
  <si>
    <t xml:space="preserve">FLEX</t>
  </si>
  <si>
    <r>
      <rPr>
        <sz val="11"/>
        <color theme="1"/>
        <rFont val="WenQuanYi Zen Hei"/>
        <family val="2"/>
      </rPr>
      <t xml:space="preserve">전자제품 위탁생산</t>
    </r>
    <r>
      <rPr>
        <sz val="11"/>
        <color theme="1"/>
        <rFont val="Calibri"/>
        <family val="2"/>
        <charset val="1"/>
      </rPr>
      <t xml:space="preserve">(EMS) </t>
    </r>
    <r>
      <rPr>
        <sz val="11"/>
        <color theme="1"/>
        <rFont val="WenQuanYi Zen Hei"/>
        <family val="2"/>
      </rPr>
      <t xml:space="preserve">및 데이터센터 전력 장비</t>
    </r>
  </si>
  <si>
    <t xml:space="preserve">2026-06-26</t>
  </si>
  <si>
    <t xml:space="preserve">• Net Sales: $7.35 billion to $7.65 billion, growth of 14% at the midpoint</t>
  </si>
  <si>
    <t xml:space="preserve">Trex Company, Inc.</t>
  </si>
  <si>
    <t xml:space="preserve">TREX</t>
  </si>
  <si>
    <r>
      <rPr>
        <sz val="11"/>
        <color theme="1"/>
        <rFont val="WenQuanYi Zen Hei"/>
        <family val="2"/>
      </rPr>
      <t xml:space="preserve">합성목재 데크</t>
    </r>
    <r>
      <rPr>
        <sz val="11"/>
        <color theme="1"/>
        <rFont val="Calibri"/>
        <family val="2"/>
        <charset val="1"/>
      </rPr>
      <t xml:space="preserve">·</t>
    </r>
    <r>
      <rPr>
        <sz val="11"/>
        <color theme="1"/>
        <rFont val="WenQuanYi Zen Hei"/>
        <family val="2"/>
      </rPr>
      <t xml:space="preserve">난간</t>
    </r>
  </si>
  <si>
    <t xml:space="preserve">For the second quarter, we expect net sales in the range of $388 million to $403 million, and we expect to see a reversal of the gross margin benefit from product mix that we saw in Q1.</t>
  </si>
  <si>
    <t xml:space="preserve">TTM Technologies, Inc.</t>
  </si>
  <si>
    <t xml:space="preserve">TTMI</t>
  </si>
  <si>
    <r>
      <rPr>
        <sz val="11"/>
        <color theme="1"/>
        <rFont val="WenQuanYi Zen Hei"/>
        <family val="2"/>
      </rPr>
      <t xml:space="preserve">인쇄회로기판</t>
    </r>
    <r>
      <rPr>
        <sz val="11"/>
        <color theme="1"/>
        <rFont val="Calibri"/>
        <family val="2"/>
        <charset val="1"/>
      </rPr>
      <t xml:space="preserve">(PCB) </t>
    </r>
    <r>
      <rPr>
        <sz val="11"/>
        <color theme="1"/>
        <rFont val="WenQuanYi Zen Hei"/>
        <family val="2"/>
      </rPr>
      <t xml:space="preserve">및 방산 </t>
    </r>
    <r>
      <rPr>
        <sz val="11"/>
        <color theme="1"/>
        <rFont val="Calibri"/>
        <family val="2"/>
        <charset val="1"/>
      </rPr>
      <t xml:space="preserve">RF </t>
    </r>
    <r>
      <rPr>
        <sz val="11"/>
        <color theme="1"/>
        <rFont val="WenQuanYi Zen Hei"/>
        <family val="2"/>
      </rPr>
      <t xml:space="preserve">부품</t>
    </r>
  </si>
  <si>
    <t xml:space="preserve">second quarter of 2026, TTM estimates that net sales will be in the range of $930 million to $970 million, and non-GAAP net income will be in the range of $0.82 to $0.88 per diluted share.</t>
  </si>
  <si>
    <t xml:space="preserve">Onto Innovation Inc.</t>
  </si>
  <si>
    <t xml:space="preserve">ONTO</t>
  </si>
  <si>
    <r>
      <rPr>
        <sz val="11"/>
        <color theme="1"/>
        <rFont val="WenQuanYi Zen Hei"/>
        <family val="2"/>
      </rPr>
      <t xml:space="preserve">반도체 검사</t>
    </r>
    <r>
      <rPr>
        <sz val="11"/>
        <color theme="1"/>
        <rFont val="Calibri"/>
        <family val="2"/>
        <charset val="1"/>
      </rPr>
      <t xml:space="preserve">·</t>
    </r>
    <r>
      <rPr>
        <sz val="11"/>
        <color theme="1"/>
        <rFont val="WenQuanYi Zen Hei"/>
        <family val="2"/>
      </rPr>
      <t xml:space="preserve">계측 및 리소그래피 장비</t>
    </r>
  </si>
  <si>
    <t xml:space="preserve">• Revenue of $320 million to $330 million</t>
  </si>
  <si>
    <t xml:space="preserve">Dell Technologies</t>
  </si>
  <si>
    <t xml:space="preserve">DELL</t>
  </si>
  <si>
    <r>
      <rPr>
        <sz val="11"/>
        <color theme="1"/>
        <rFont val="Calibri"/>
        <family val="2"/>
        <charset val="1"/>
      </rPr>
      <t xml:space="preserve">PC·</t>
    </r>
    <r>
      <rPr>
        <sz val="11"/>
        <color theme="1"/>
        <rFont val="WenQuanYi Zen Hei"/>
        <family val="2"/>
      </rPr>
      <t xml:space="preserve">서버</t>
    </r>
    <r>
      <rPr>
        <sz val="11"/>
        <color theme="1"/>
        <rFont val="Calibri"/>
        <family val="2"/>
        <charset val="1"/>
      </rPr>
      <t xml:space="preserve">(AI </t>
    </r>
    <r>
      <rPr>
        <sz val="11"/>
        <color theme="1"/>
        <rFont val="WenQuanYi Zen Hei"/>
        <family val="2"/>
      </rPr>
      <t xml:space="preserve">서버</t>
    </r>
    <r>
      <rPr>
        <sz val="11"/>
        <color theme="1"/>
        <rFont val="Calibri"/>
        <family val="2"/>
        <charset val="1"/>
      </rPr>
      <t xml:space="preserve">)·</t>
    </r>
    <r>
      <rPr>
        <sz val="11"/>
        <color theme="1"/>
        <rFont val="WenQuanYi Zen Hei"/>
        <family val="2"/>
      </rPr>
      <t xml:space="preserve">스토리지</t>
    </r>
  </si>
  <si>
    <t xml:space="preserve">2026-09-01</t>
  </si>
  <si>
    <t xml:space="preserve">• Second-quarter FY27 revenue expected between $44.0 billion and $45.0 billion, up 49% year over year at the midpoint of $44.5 billion</t>
  </si>
  <si>
    <t xml:space="preserve">Littelfuse, Inc.</t>
  </si>
  <si>
    <t xml:space="preserve">LFUS</t>
  </si>
  <si>
    <r>
      <rPr>
        <sz val="11"/>
        <color theme="1"/>
        <rFont val="WenQuanYi Zen Hei"/>
        <family val="2"/>
      </rPr>
      <t xml:space="preserve">퓨즈</t>
    </r>
    <r>
      <rPr>
        <sz val="11"/>
        <color theme="1"/>
        <rFont val="Calibri"/>
        <family val="2"/>
        <charset val="1"/>
      </rPr>
      <t xml:space="preserve">·</t>
    </r>
    <r>
      <rPr>
        <sz val="11"/>
        <color theme="1"/>
        <rFont val="WenQuanYi Zen Hei"/>
        <family val="2"/>
      </rPr>
      <t xml:space="preserve">전력 반도체 등 회로보호 부품</t>
    </r>
  </si>
  <si>
    <t xml:space="preserve">13Littelfuse, Inc. © 2026 Q2 2026 GUIDANCE  Entered Q2 with a strong backlog and continued bookings momentum  Focused on execution, traction on strategic priorities  Q2 sales guidance: $690m - $710m  +7% sequential  +14% yr/yr; +8% organic  +6% yr/yr growth from the Basler acquisition  Adj.</t>
  </si>
  <si>
    <t xml:space="preserve">MongoDB, Inc.</t>
  </si>
  <si>
    <t xml:space="preserve">MDB</t>
  </si>
  <si>
    <r>
      <rPr>
        <sz val="11"/>
        <color theme="1"/>
        <rFont val="Calibri"/>
        <family val="2"/>
        <charset val="1"/>
      </rPr>
      <t xml:space="preserve">NoSQL </t>
    </r>
    <r>
      <rPr>
        <sz val="11"/>
        <color theme="1"/>
        <rFont val="WenQuanYi Zen Hei"/>
        <family val="2"/>
      </rPr>
      <t xml:space="preserve">데이터베이스 플랫폼 </t>
    </r>
    <r>
      <rPr>
        <sz val="11"/>
        <color theme="1"/>
        <rFont val="Calibri"/>
        <family val="2"/>
        <charset val="1"/>
      </rPr>
      <t xml:space="preserve">(MongoDB Atlas)</t>
    </r>
  </si>
  <si>
    <t xml:space="preserve">Revenues are expected to be in the range of: $729 million to $734 million</t>
  </si>
  <si>
    <t xml:space="preserve">Nordson Corporation</t>
  </si>
  <si>
    <t xml:space="preserve">NDSN</t>
  </si>
  <si>
    <r>
      <rPr>
        <sz val="11"/>
        <color theme="1"/>
        <rFont val="WenQuanYi Zen Hei"/>
        <family val="2"/>
      </rPr>
      <t xml:space="preserve">정밀 접착제</t>
    </r>
    <r>
      <rPr>
        <sz val="11"/>
        <color theme="1"/>
        <rFont val="Calibri"/>
        <family val="2"/>
        <charset val="1"/>
      </rPr>
      <t xml:space="preserve">·</t>
    </r>
    <r>
      <rPr>
        <sz val="11"/>
        <color theme="1"/>
        <rFont val="WenQuanYi Zen Hei"/>
        <family val="2"/>
      </rPr>
      <t xml:space="preserve">코팅 도포 장비</t>
    </r>
  </si>
  <si>
    <t xml:space="preserve">2026-08-19</t>
  </si>
  <si>
    <t xml:space="preserve">These trends position the Company to deliver third quarter fiscal 2026 sales in the range of $760 to $790 million.</t>
  </si>
  <si>
    <t xml:space="preserve">Amkor Technology, Inc.</t>
  </si>
  <si>
    <t xml:space="preserve">AMKR</t>
  </si>
  <si>
    <r>
      <rPr>
        <sz val="11"/>
        <color theme="1"/>
        <rFont val="WenQuanYi Zen Hei"/>
        <family val="2"/>
      </rPr>
      <t xml:space="preserve">반도체 후공정</t>
    </r>
    <r>
      <rPr>
        <sz val="11"/>
        <color theme="1"/>
        <rFont val="Calibri"/>
        <family val="2"/>
        <charset val="1"/>
      </rPr>
      <t xml:space="preserve">(</t>
    </r>
    <r>
      <rPr>
        <sz val="11"/>
        <color theme="1"/>
        <rFont val="WenQuanYi Zen Hei"/>
        <family val="2"/>
      </rPr>
      <t xml:space="preserve">패키징</t>
    </r>
    <r>
      <rPr>
        <sz val="11"/>
        <color theme="1"/>
        <rFont val="Calibri"/>
        <family val="2"/>
        <charset val="1"/>
      </rPr>
      <t xml:space="preserve">·</t>
    </r>
    <r>
      <rPr>
        <sz val="11"/>
        <color theme="1"/>
        <rFont val="WenQuanYi Zen Hei"/>
        <family val="2"/>
      </rPr>
      <t xml:space="preserve">테스트</t>
    </r>
    <r>
      <rPr>
        <sz val="11"/>
        <color theme="1"/>
        <rFont val="Calibri"/>
        <family val="2"/>
        <charset val="1"/>
      </rPr>
      <t xml:space="preserve">) </t>
    </r>
    <r>
      <rPr>
        <sz val="11"/>
        <color theme="1"/>
        <rFont val="WenQuanYi Zen Hei"/>
        <family val="2"/>
      </rPr>
      <t xml:space="preserve">외주</t>
    </r>
  </si>
  <si>
    <t xml:space="preserve">2026-07-27</t>
  </si>
  <si>
    <t xml:space="preserve">• Net sales of $1.75 billion to $1.85 billion</t>
  </si>
  <si>
    <t xml:space="preserve">Ingram Micro Holding Corporatio</t>
  </si>
  <si>
    <t xml:space="preserve">INGM</t>
  </si>
  <si>
    <r>
      <rPr>
        <sz val="11"/>
        <color theme="1"/>
        <rFont val="Calibri"/>
        <family val="2"/>
        <charset val="1"/>
      </rPr>
      <t xml:space="preserve">IT </t>
    </r>
    <r>
      <rPr>
        <sz val="11"/>
        <color theme="1"/>
        <rFont val="WenQuanYi Zen Hei"/>
        <family val="2"/>
      </rPr>
      <t xml:space="preserve">하드웨어</t>
    </r>
    <r>
      <rPr>
        <sz val="11"/>
        <color theme="1"/>
        <rFont val="Calibri"/>
        <family val="2"/>
        <charset val="1"/>
      </rPr>
      <t xml:space="preserve">·</t>
    </r>
    <r>
      <rPr>
        <sz val="11"/>
        <color theme="1"/>
        <rFont val="WenQuanYi Zen Hei"/>
        <family val="2"/>
      </rPr>
      <t xml:space="preserve">소프트웨어</t>
    </r>
    <r>
      <rPr>
        <sz val="11"/>
        <color theme="1"/>
        <rFont val="Calibri"/>
        <family val="2"/>
        <charset val="1"/>
      </rPr>
      <t xml:space="preserve">·</t>
    </r>
    <r>
      <rPr>
        <sz val="11"/>
        <color theme="1"/>
        <rFont val="WenQuanYi Zen Hei"/>
        <family val="2"/>
      </rPr>
      <t xml:space="preserve">클라우드 유통 </t>
    </r>
    <r>
      <rPr>
        <sz val="11"/>
        <color theme="1"/>
        <rFont val="Calibri"/>
        <family val="2"/>
        <charset val="1"/>
      </rPr>
      <t xml:space="preserve">(Ingram Micro)</t>
    </r>
  </si>
  <si>
    <t xml:space="preserve">• Net sales for Q2 2026 expected to be $13.6 billion to $14.0 billion – a year-over-year increase of 6.3% to 9.4%</t>
  </si>
  <si>
    <t xml:space="preserve">Samsara Inc.</t>
  </si>
  <si>
    <t xml:space="preserve">IOT</t>
  </si>
  <si>
    <r>
      <rPr>
        <sz val="11"/>
        <color theme="1"/>
        <rFont val="WenQuanYi Zen Hei"/>
        <family val="2"/>
      </rPr>
      <t xml:space="preserve">차량</t>
    </r>
    <r>
      <rPr>
        <sz val="11"/>
        <color theme="1"/>
        <rFont val="Calibri"/>
        <family val="2"/>
        <charset val="1"/>
      </rPr>
      <t xml:space="preserve">·</t>
    </r>
    <r>
      <rPr>
        <sz val="11"/>
        <color theme="1"/>
        <rFont val="WenQuanYi Zen Hei"/>
        <family val="2"/>
      </rPr>
      <t xml:space="preserve">현장 장비용 </t>
    </r>
    <r>
      <rPr>
        <sz val="11"/>
        <color theme="1"/>
        <rFont val="Calibri"/>
        <family val="2"/>
        <charset val="1"/>
      </rPr>
      <t xml:space="preserve">IoT </t>
    </r>
    <r>
      <rPr>
        <sz val="11"/>
        <color theme="1"/>
        <rFont val="WenQuanYi Zen Hei"/>
        <family val="2"/>
      </rPr>
      <t xml:space="preserve">운영관리 클라우드 </t>
    </r>
    <r>
      <rPr>
        <sz val="11"/>
        <color theme="1"/>
        <rFont val="Calibri"/>
        <family val="2"/>
        <charset val="1"/>
      </rPr>
      <t xml:space="preserve">(Samsara)</t>
    </r>
  </si>
  <si>
    <t xml:space="preserve">Total revenue $482 million – $484 million    $2.005 billion – $2.013 billion</t>
  </si>
  <si>
    <t xml:space="preserve">Twilio Inc.</t>
  </si>
  <si>
    <t xml:space="preserve">TWLO</t>
  </si>
  <si>
    <r>
      <rPr>
        <sz val="11"/>
        <color theme="1"/>
        <rFont val="WenQuanYi Zen Hei"/>
        <family val="2"/>
      </rPr>
      <t xml:space="preserve">문자</t>
    </r>
    <r>
      <rPr>
        <sz val="11"/>
        <color theme="1"/>
        <rFont val="Calibri"/>
        <family val="2"/>
        <charset val="1"/>
      </rPr>
      <t xml:space="preserve">·</t>
    </r>
    <r>
      <rPr>
        <sz val="11"/>
        <color theme="1"/>
        <rFont val="WenQuanYi Zen Hei"/>
        <family val="2"/>
      </rPr>
      <t xml:space="preserve">음성</t>
    </r>
    <r>
      <rPr>
        <sz val="11"/>
        <color theme="1"/>
        <rFont val="Calibri"/>
        <family val="2"/>
        <charset val="1"/>
      </rPr>
      <t xml:space="preserve">·</t>
    </r>
    <r>
      <rPr>
        <sz val="11"/>
        <color theme="1"/>
        <rFont val="WenQuanYi Zen Hei"/>
        <family val="2"/>
      </rPr>
      <t xml:space="preserve">이메일 고객소통 </t>
    </r>
    <r>
      <rPr>
        <sz val="11"/>
        <color theme="1"/>
        <rFont val="Calibri"/>
        <family val="2"/>
        <charset val="1"/>
      </rPr>
      <t xml:space="preserve">API </t>
    </r>
    <r>
      <rPr>
        <sz val="11"/>
        <color theme="1"/>
        <rFont val="WenQuanYi Zen Hei"/>
        <family val="2"/>
      </rPr>
      <t xml:space="preserve">클라우드 플랫폼</t>
    </r>
  </si>
  <si>
    <t xml:space="preserve">For the second quarter ended June 30, 2026, Twilio is initiating a revenue range of $1.420 to $1.430 billion, which implies a reported revenue growth range of 15.5% to 16.5% and an organic revenue growth range of 10% to 11% year-over-year.</t>
  </si>
  <si>
    <t xml:space="preserve">The Middleby Corporation</t>
  </si>
  <si>
    <t xml:space="preserve">MIDD</t>
  </si>
  <si>
    <r>
      <rPr>
        <sz val="11"/>
        <color theme="1"/>
        <rFont val="WenQuanYi Zen Hei"/>
        <family val="2"/>
      </rPr>
      <t xml:space="preserve">상업용 주방기기</t>
    </r>
    <r>
      <rPr>
        <sz val="11"/>
        <color theme="1"/>
        <rFont val="Calibri"/>
        <family val="2"/>
        <charset val="1"/>
      </rPr>
      <t xml:space="preserve">·</t>
    </r>
    <r>
      <rPr>
        <sz val="11"/>
        <color theme="1"/>
        <rFont val="WenQuanYi Zen Hei"/>
        <family val="2"/>
      </rPr>
      <t xml:space="preserve">식품가공 설비 제조</t>
    </r>
  </si>
  <si>
    <t xml:space="preserve">2026-08-11</t>
  </si>
  <si>
    <r>
      <rPr>
        <sz val="11"/>
        <color theme="1"/>
        <rFont val="Calibri"/>
        <family val="2"/>
        <charset val="1"/>
      </rPr>
      <t xml:space="preserve">[</t>
    </r>
    <r>
      <rPr>
        <sz val="11"/>
        <color theme="1"/>
        <rFont val="WenQuanYi Zen Hei"/>
        <family val="2"/>
      </rPr>
      <t xml:space="preserve">수동 확인</t>
    </r>
    <r>
      <rPr>
        <sz val="11"/>
        <color theme="1"/>
        <rFont val="Calibri"/>
        <family val="2"/>
        <charset val="1"/>
      </rPr>
      <t xml:space="preserve">] </t>
    </r>
    <r>
      <rPr>
        <sz val="11"/>
        <color theme="1"/>
        <rFont val="WenQuanYi Zen Hei"/>
        <family val="2"/>
      </rPr>
      <t xml:space="preserve">가이던스 표의 회사 전체</t>
    </r>
    <r>
      <rPr>
        <sz val="11"/>
        <color theme="1"/>
        <rFont val="Calibri"/>
        <family val="2"/>
        <charset val="1"/>
      </rPr>
      <t xml:space="preserve">(Total Company) 2</t>
    </r>
    <r>
      <rPr>
        <sz val="11"/>
        <color theme="1"/>
        <rFont val="WenQuanYi Zen Hei"/>
        <family val="2"/>
      </rPr>
      <t xml:space="preserve">분기 매출 </t>
    </r>
    <r>
      <rPr>
        <sz val="11"/>
        <color theme="1"/>
        <rFont val="Calibri"/>
        <family val="2"/>
        <charset val="1"/>
      </rPr>
      <t xml:space="preserve">$815-850M (</t>
    </r>
    <r>
      <rPr>
        <sz val="11"/>
        <color theme="1"/>
        <rFont val="WenQuanYi Zen Hei"/>
        <family val="2"/>
      </rPr>
      <t xml:space="preserve">자동 추출은 </t>
    </r>
    <r>
      <rPr>
        <sz val="11"/>
        <color theme="1"/>
        <rFont val="Calibri"/>
        <family val="2"/>
        <charset val="1"/>
      </rPr>
      <t xml:space="preserve">Commercial Foodservice </t>
    </r>
    <r>
      <rPr>
        <sz val="11"/>
        <color theme="1"/>
        <rFont val="WenQuanYi Zen Hei"/>
        <family val="2"/>
      </rPr>
      <t xml:space="preserve">부문 값</t>
    </r>
    <r>
      <rPr>
        <sz val="11"/>
        <color theme="1"/>
        <rFont val="Calibri"/>
        <family val="2"/>
        <charset val="1"/>
      </rPr>
      <t xml:space="preserve">) | Net sales $600-$620 M  $215-230 M  $815-850 M  $2.44-2.49 B  $915-945 M  $3.36-3.44 B</t>
    </r>
  </si>
  <si>
    <t xml:space="preserve">Texas Instruments</t>
  </si>
  <si>
    <t xml:space="preserve">TXN</t>
  </si>
  <si>
    <r>
      <rPr>
        <sz val="11"/>
        <color theme="1"/>
        <rFont val="WenQuanYi Zen Hei"/>
        <family val="2"/>
      </rPr>
      <t xml:space="preserve">아날로그</t>
    </r>
    <r>
      <rPr>
        <sz val="11"/>
        <color theme="1"/>
        <rFont val="Calibri"/>
        <family val="2"/>
        <charset val="1"/>
      </rPr>
      <t xml:space="preserve">·</t>
    </r>
    <r>
      <rPr>
        <sz val="11"/>
        <color theme="1"/>
        <rFont val="WenQuanYi Zen Hei"/>
        <family val="2"/>
      </rPr>
      <t xml:space="preserve">임베디드 반도체</t>
    </r>
  </si>
  <si>
    <t xml:space="preserve">2026-07-22</t>
  </si>
  <si>
    <t xml:space="preserve">• "TI's second quarter outlook is for revenue in the range of $5.00 billion to $5.40 billion and earnings per share between $1.77 and $2.05."</t>
  </si>
  <si>
    <t xml:space="preserve">가이던스 비교 가능 기업 수</t>
  </si>
  <si>
    <t xml:space="preserve">크게 상회 기업 수</t>
  </si>
  <si>
    <t xml:space="preserve">크게 상회 비율</t>
  </si>
  <si>
    <r>
      <rPr>
        <b val="true"/>
        <sz val="11"/>
        <rFont val="WenQuanYi Zen Hei"/>
        <family val="2"/>
      </rPr>
      <t xml:space="preserve">가이던스 대비 중앙값 </t>
    </r>
    <r>
      <rPr>
        <b val="true"/>
        <sz val="11"/>
        <rFont val="Cambria"/>
        <family val="0"/>
        <charset val="1"/>
      </rPr>
      <t xml:space="preserve">(</t>
    </r>
    <r>
      <rPr>
        <b val="true"/>
        <sz val="11"/>
        <rFont val="WenQuanYi Zen Hei"/>
        <family val="2"/>
      </rPr>
      <t xml:space="preserve">섹터 전체</t>
    </r>
    <r>
      <rPr>
        <b val="true"/>
        <sz val="11"/>
        <rFont val="Cambria"/>
        <family val="0"/>
        <charset val="1"/>
      </rPr>
      <t xml:space="preserve">)</t>
    </r>
  </si>
  <si>
    <r>
      <rPr>
        <b val="true"/>
        <sz val="11"/>
        <rFont val="WenQuanYi Zen Hei"/>
        <family val="2"/>
      </rPr>
      <t xml:space="preserve">크게 상회 기업의 </t>
    </r>
    <r>
      <rPr>
        <b val="true"/>
        <sz val="11"/>
        <rFont val="Cambria"/>
        <family val="0"/>
        <charset val="1"/>
      </rPr>
      <t xml:space="preserve">1</t>
    </r>
    <r>
      <rPr>
        <b val="true"/>
        <sz val="11"/>
        <rFont val="WenQuanYi Zen Hei"/>
        <family val="2"/>
      </rPr>
      <t xml:space="preserve">년 주가수익률 중앙값</t>
    </r>
  </si>
  <si>
    <t xml:space="preserve">크게 상회 기업</t>
  </si>
  <si>
    <t xml:space="preserve">Consumer Staples</t>
  </si>
  <si>
    <t xml:space="preserve">Energy</t>
  </si>
  <si>
    <t xml:space="preserve">Financials</t>
  </si>
  <si>
    <t xml:space="preserve">Health Care</t>
  </si>
  <si>
    <t xml:space="preserve">KTOS, FPS, PL, TREX, NDSN, MIDD</t>
  </si>
  <si>
    <t xml:space="preserve">MU, SNX, INTC, SNDK, AVT, NTAP, TER, MPWR, FTNT, LSCC, ANET, RBRK, P, FORM, PLTR, APH, U, TEAM, ENTG, AEIS, KEYS, FIG, ARW, NVDA, FLEX, TTMI, ONTO, DELL, LFUS, MDB, AMKR, INGM, IOT, TWLO, TXN</t>
  </si>
  <si>
    <t xml:space="preserve">JHX, SOLS</t>
  </si>
  <si>
    <t xml:space="preserve">Real Estate</t>
  </si>
  <si>
    <t xml:space="preserve">합계</t>
  </si>
  <si>
    <r>
      <rPr>
        <b val="true"/>
        <sz val="11"/>
        <rFont val="Cambria"/>
        <family val="0"/>
        <charset val="1"/>
      </rPr>
      <t xml:space="preserve">Q0 </t>
    </r>
    <r>
      <rPr>
        <b val="true"/>
        <sz val="11"/>
        <rFont val="WenQuanYi Zen Hei"/>
        <family val="2"/>
      </rPr>
      <t xml:space="preserve">종료일</t>
    </r>
  </si>
  <si>
    <r>
      <rPr>
        <b val="true"/>
        <sz val="11"/>
        <rFont val="WenQuanYi Zen Hei"/>
        <family val="2"/>
      </rPr>
      <t xml:space="preserve">가이던스 하단 </t>
    </r>
    <r>
      <rPr>
        <b val="true"/>
        <sz val="11"/>
        <rFont val="Cambria"/>
        <family val="0"/>
        <charset val="1"/>
      </rPr>
      <t xml:space="preserve">(</t>
    </r>
    <r>
      <rPr>
        <b val="true"/>
        <sz val="11"/>
        <rFont val="WenQuanYi Zen Hei"/>
        <family val="2"/>
      </rPr>
      <t xml:space="preserve">백만</t>
    </r>
    <r>
      <rPr>
        <b val="true"/>
        <sz val="11"/>
        <rFont val="Cambria"/>
        <family val="0"/>
        <charset val="1"/>
      </rPr>
      <t xml:space="preserve">$)</t>
    </r>
  </si>
  <si>
    <r>
      <rPr>
        <b val="true"/>
        <sz val="11"/>
        <rFont val="WenQuanYi Zen Hei"/>
        <family val="2"/>
      </rPr>
      <t xml:space="preserve">가이던스 상단 </t>
    </r>
    <r>
      <rPr>
        <b val="true"/>
        <sz val="11"/>
        <rFont val="Cambria"/>
        <family val="0"/>
        <charset val="1"/>
      </rPr>
      <t xml:space="preserve">(</t>
    </r>
    <r>
      <rPr>
        <b val="true"/>
        <sz val="11"/>
        <rFont val="WenQuanYi Zen Hei"/>
        <family val="2"/>
      </rPr>
      <t xml:space="preserve">백만</t>
    </r>
    <r>
      <rPr>
        <b val="true"/>
        <sz val="11"/>
        <rFont val="Cambria"/>
        <family val="0"/>
        <charset val="1"/>
      </rPr>
      <t xml:space="preserve">$)</t>
    </r>
  </si>
  <si>
    <t xml:space="preserve">크게 상회</t>
  </si>
  <si>
    <t xml:space="preserve">가이던스 근거 문장</t>
  </si>
  <si>
    <t xml:space="preserve">근거 문장 수동 검토</t>
  </si>
  <si>
    <t xml:space="preserve">검토 완료</t>
  </si>
  <si>
    <t xml:space="preserve">CHIME FINANCIAL</t>
  </si>
  <si>
    <t xml:space="preserve">CHYM</t>
  </si>
  <si>
    <t xml:space="preserve">• Revenue between $633 million to $643 million, resulting in year-over-year revenue growth between 20% and 22%.</t>
  </si>
  <si>
    <t xml:space="preserve">GITLAB</t>
  </si>
  <si>
    <t xml:space="preserve">GTLB</t>
  </si>
  <si>
    <t xml:space="preserve">Revenue $272 - $274  $1,112 - $1,118</t>
  </si>
  <si>
    <t xml:space="preserve">CLOUDFLARE</t>
  </si>
  <si>
    <t xml:space="preserve">NET</t>
  </si>
  <si>
    <t xml:space="preserve">• Total revenue of $664.0 to $665.0 million</t>
  </si>
  <si>
    <t xml:space="preserve">eBay Inc.</t>
  </si>
  <si>
    <t xml:space="preserve">EBAY</t>
  </si>
  <si>
    <t xml:space="preserve">Net revenues $2.97 - $3.03</t>
  </si>
  <si>
    <t xml:space="preserve">KBR INC</t>
  </si>
  <si>
    <t xml:space="preserve">KBR</t>
  </si>
  <si>
    <t xml:space="preserve">• Revenues of $1.9 billion, down 5% due to expected EUCOM contingency runoff</t>
  </si>
  <si>
    <t xml:space="preserve">Datadog</t>
  </si>
  <si>
    <t xml:space="preserve">DDOG</t>
  </si>
  <si>
    <t xml:space="preserve">◦ Revenue between $1.07 billion and $1.08 billion.</t>
  </si>
  <si>
    <t xml:space="preserve">SEMTECH</t>
  </si>
  <si>
    <t xml:space="preserve">SMTC</t>
  </si>
  <si>
    <t xml:space="preserve">Net sales $ 328.0   +/-  $5.0</t>
  </si>
  <si>
    <t xml:space="preserve">ELANCO ANIMAL HEALTH</t>
  </si>
  <si>
    <t xml:space="preserve">ELAN</t>
  </si>
  <si>
    <t xml:space="preserve">Revenue (1) $1,300 to $1,325</t>
  </si>
  <si>
    <t xml:space="preserve">F5, Inc.</t>
  </si>
  <si>
    <t xml:space="preserve">FFIV</t>
  </si>
  <si>
    <t xml:space="preserve">For the third quarter of fiscal year 2026, F5 is guiding to revenue in the range of $820 million to $840 million, with non-GAAP earnings in the range of $3.91 to $4.03 per diluted share.</t>
  </si>
  <si>
    <t xml:space="preserve">ROKU</t>
  </si>
  <si>
    <t xml:space="preserve">We expect this to result in Total net revenue of $1.3 billion, up nearly 17% YoY, with Total gross profit of $580 million and Adjusted EBITDA of $170 million.</t>
  </si>
  <si>
    <t xml:space="preserve">NOV</t>
  </si>
  <si>
    <t xml:space="preserve">On a consolidated basis, the Company currently expects to report revenues of $2.05 billion, operating profit of $47 million, and Adjusted EBITDA* of $177 million.</t>
  </si>
  <si>
    <t xml:space="preserve">MKS</t>
  </si>
  <si>
    <t xml:space="preserve">MKSI</t>
  </si>
  <si>
    <t xml:space="preserve">• Revenue of $1,200 million, plus or minus $40 million</t>
  </si>
  <si>
    <t xml:space="preserve">OWENS CORNING</t>
  </si>
  <si>
    <t xml:space="preserve">OC</t>
  </si>
  <si>
    <t xml:space="preserve">Revenue from continuing operations is expected to be approximately $2.6 billion to $2.7 billion.</t>
  </si>
  <si>
    <t xml:space="preserve">West Pharmaceutical Services</t>
  </si>
  <si>
    <t xml:space="preserve">WST</t>
  </si>
  <si>
    <t xml:space="preserve">• The Company is introducing its second-quarter 2026 net sales guidance range of $830 million to $850 million.</t>
  </si>
  <si>
    <t xml:space="preserve">ALLEGRO MICROSYSTEMS INC</t>
  </si>
  <si>
    <t xml:space="preserve">ALGM</t>
  </si>
  <si>
    <t xml:space="preserve">For the first quarter of fiscal year 2027 ending June 26, 2026, the Company expects total net sales to be in the range of $245 million to $255 million.</t>
  </si>
  <si>
    <t xml:space="preserve">Qualcomm</t>
  </si>
  <si>
    <t xml:space="preserve">QCOM</t>
  </si>
  <si>
    <t xml:space="preserve">Revenues  $9.2B - $10.0B</t>
  </si>
  <si>
    <t xml:space="preserve">RALLIANT</t>
  </si>
  <si>
    <t xml:space="preserve">RAL</t>
  </si>
  <si>
    <t xml:space="preserve">• Revenue: $540 to $556 million</t>
  </si>
  <si>
    <t xml:space="preserve">FABRINET</t>
  </si>
  <si>
    <t xml:space="preserve">FN</t>
  </si>
  <si>
    <t xml:space="preserve">• Fabrinet expects fourth quarter revenue to be in the range of $1.25 billion to $1.29 billion.</t>
  </si>
  <si>
    <t xml:space="preserve">Hewlett Packard Enterprise</t>
  </si>
  <si>
    <t xml:space="preserve">HPE</t>
  </si>
  <si>
    <t xml:space="preserve">HPE estimates revenue to be in the range of $11.5 billion to $12.1 billion.</t>
  </si>
  <si>
    <t xml:space="preserve">SANMINA</t>
  </si>
  <si>
    <t xml:space="preserve">SANM</t>
  </si>
  <si>
    <t xml:space="preserve">• Revenue between $3.2 billion to $3.5 billion</t>
  </si>
  <si>
    <t xml:space="preserve">Corpay</t>
  </si>
  <si>
    <t xml:space="preserve">CPAY</t>
  </si>
  <si>
    <t xml:space="preserve">“Revenue for the second quarter of 2026 is expected to be approximately $1.295 billion at the midpoint, growing 18% year over year, and adjusted net income per diluted share is expected to be $6.55 at the midpoint, growing 28% year over year,” said Peter Walker.</t>
  </si>
  <si>
    <t xml:space="preserve">DOXIMITY</t>
  </si>
  <si>
    <t xml:space="preserve">DOCS</t>
  </si>
  <si>
    <t xml:space="preserve">• Revenue between $151 million and $152 million.</t>
  </si>
  <si>
    <t xml:space="preserve">Coherent Corp.</t>
  </si>
  <si>
    <t xml:space="preserve">COHR</t>
  </si>
  <si>
    <t xml:space="preserve">Revenue for the fourth quarter of fiscal 2026 is expected to be between $1.91 billion and $2.05 billion.</t>
  </si>
  <si>
    <t xml:space="preserve">PAYLOCITY HOLDING CORP</t>
  </si>
  <si>
    <t xml:space="preserve">PCTY</t>
  </si>
  <si>
    <t xml:space="preserve">• Total revenue is expected to be in the range of $428.4 million to $433.4 million, which represents approximately 7%-8% growth over fiscal year 2025 fourth quarter total revenue.</t>
  </si>
  <si>
    <t xml:space="preserve">UIPATH INC</t>
  </si>
  <si>
    <t xml:space="preserve">PATH</t>
  </si>
  <si>
    <t xml:space="preserve">• Revenue in the range of $395 million to $400 million</t>
  </si>
  <si>
    <t xml:space="preserve">PINTEREST</t>
  </si>
  <si>
    <t xml:space="preserve">PINS</t>
  </si>
  <si>
    <t xml:space="preserve">For Q2 2026, we expect revenue to be in the range of $1,133 million to $1,153 million, representing 14% - 16% growth year over year.</t>
  </si>
  <si>
    <t xml:space="preserve">Analog Devices</t>
  </si>
  <si>
    <t xml:space="preserve">ADI</t>
  </si>
  <si>
    <t xml:space="preserve">For the third quarter of fiscal 2026, we are forecasting revenue of $3.9 billion, +/- $100 million.</t>
  </si>
  <si>
    <t xml:space="preserve">NUTANIX</t>
  </si>
  <si>
    <t xml:space="preserve">NTNX</t>
  </si>
  <si>
    <t xml:space="preserve">Revenue $725 - $745 million</t>
  </si>
  <si>
    <t xml:space="preserve">Advanced Micro Devices</t>
  </si>
  <si>
    <t xml:space="preserve">AMD</t>
  </si>
  <si>
    <t xml:space="preserve">For the second quarter of 2026, AMD expects revenue to be approximately $11.2 billion, plus or minus $300 million.</t>
  </si>
  <si>
    <t xml:space="preserve">DIGITALOCEAN HOLDINGS</t>
  </si>
  <si>
    <t xml:space="preserve">DOCN</t>
  </si>
  <si>
    <t xml:space="preserve">• Total revenue of $272 to $274 million, up 24% to 25% year-over-year.</t>
  </si>
  <si>
    <t xml:space="preserve">Jabil</t>
  </si>
  <si>
    <t xml:space="preserve">JBL</t>
  </si>
  <si>
    <t xml:space="preserve">• Net revenue $8.1 billion to $8.9 billion</t>
  </si>
  <si>
    <t xml:space="preserve">VONTIER</t>
  </si>
  <si>
    <t xml:space="preserve">VNT</t>
  </si>
  <si>
    <t xml:space="preserve">• Total sales of $730 to $740 million (including $15 million headwind from divestiture);</t>
  </si>
  <si>
    <t xml:space="preserve">RBC BEARINGS</t>
  </si>
  <si>
    <t xml:space="preserve">RBC</t>
  </si>
  <si>
    <t xml:space="preserve">The Company expects net sales to be approximately $500.0 million to $510.0 million in the first quarter of fiscal 2027, compared to $436.0 million in the prior year, for a growth rate $500.0 million to $510.0 million in the first quarter of fiscal 2027, compared to $436.0 million in the prior year, for a growth rate</t>
  </si>
  <si>
    <t xml:space="preserve">Ciena</t>
  </si>
  <si>
    <t xml:space="preserve">CIEN</t>
  </si>
  <si>
    <t xml:space="preserve">Fiscal Q3 2026 Fiscal FY 2026 Revenue $1.625B plus or minus $50M $6.3B plus or minus $100M Adjusted Gross Margin 45.0% plus or minus 50 bps 44.5% to 45.0% Adjusted Operating Expense $410M plus or minus $10M $1.61B plus or minus $20M Adjusted Operating Margin 19% to 20% 19% plus or minus 50 bps</t>
  </si>
  <si>
    <t xml:space="preserve">PROCORE TECHNOLOGIES INC</t>
  </si>
  <si>
    <t xml:space="preserve">PCOR</t>
  </si>
  <si>
    <t xml:space="preserve">◦ Revenue is expected to be in the range of $364 million to $366 million, representing year-over-year growth of 12% to 13%.</t>
  </si>
  <si>
    <t xml:space="preserve">Veeva Systems</t>
  </si>
  <si>
    <t xml:space="preserve">VEEV</t>
  </si>
  <si>
    <t xml:space="preserve">• Total revenues between $902 and $905 million.</t>
  </si>
  <si>
    <t xml:space="preserve">Cisco</t>
  </si>
  <si>
    <t xml:space="preserve">CSCO</t>
  </si>
  <si>
    <t xml:space="preserve">◦ Revenue: $16.7 billion to $16.9 billion</t>
  </si>
  <si>
    <t xml:space="preserve">Western Digital</t>
  </si>
  <si>
    <t xml:space="preserve">WDC</t>
  </si>
  <si>
    <t xml:space="preserve">We have also strengthened our balance sheet while deploying our robust free cash flow to drive shareholder returns,” said Kris Sennesael, CFO of WD. “For our fiscal fourth quarter of 2026, at the mid-point of the ranges provided in the table below, we expect revenues of $3.65 billion, non-GAAP gross margin of 51.5%, with non-GAAP EPS of $3.25.”</t>
  </si>
  <si>
    <t xml:space="preserve">SENSATA TECHNOLOGIES HOLDING PLC</t>
  </si>
  <si>
    <t xml:space="preserve">ST</t>
  </si>
  <si>
    <t xml:space="preserve">For the second quarter of 2026, Sensata expects revenue of $950 to $980 million, inclusive of recovery of tariff costs, and adjusted EPS of $0.89 to $0.95.</t>
  </si>
  <si>
    <t xml:space="preserve">VIAVI SOLUTIONS</t>
  </si>
  <si>
    <t xml:space="preserve">VIAV</t>
  </si>
  <si>
    <t xml:space="preserve">For the fourth quarter of fiscal 2026 ending June 27, 2026, the Company expects net revenue to be between $427 million to $437 million and non-GAAP EPS to be between $0.29 to $0.31.</t>
  </si>
  <si>
    <t xml:space="preserve">ZSCALER</t>
  </si>
  <si>
    <t xml:space="preserve">ZS</t>
  </si>
  <si>
    <t xml:space="preserve">• Revenue of $875 million to $878 million, growth of approximately 22%.</t>
  </si>
  <si>
    <t xml:space="preserve">API GROUP</t>
  </si>
  <si>
    <t xml:space="preserve">APG</t>
  </si>
  <si>
    <t xml:space="preserve">• Net Revenues of $2,175 to $2,225 million</t>
  </si>
  <si>
    <t xml:space="preserve">Edwards Lifesciences</t>
  </si>
  <si>
    <t xml:space="preserve">EW</t>
  </si>
  <si>
    <t xml:space="preserve">For the second quarter of 2026, the company projects total sales to be between $1.66 and $1.74 billion and adjusted EPS of $0.70 to $0.76.</t>
  </si>
  <si>
    <t xml:space="preserve">KLA Corporation</t>
  </si>
  <si>
    <t xml:space="preserve">KLAC</t>
  </si>
  <si>
    <t xml:space="preserve">• Total revenues are expected to be in a range of $3.575 billion +/- $200 million</t>
  </si>
  <si>
    <t xml:space="preserve">Trimble Inc.</t>
  </si>
  <si>
    <t xml:space="preserve">TRMB</t>
  </si>
  <si>
    <t xml:space="preserve">For the second quarter of 2026, Trimble expects to report revenue between $938 million and $963 million, GAAP earnings per share of $0.38 to $0.42, and non-GAAP earnings per share of $0.78 to $0.82.</t>
  </si>
  <si>
    <t xml:space="preserve">WEX</t>
  </si>
  <si>
    <t xml:space="preserve">• For the second quarter of 2026, the Company expects revenue in the range of $727 million to $747 million and adjusted net income in the range of $173 million to $180 million, or $4.93 to $5.13 per diluted share.</t>
  </si>
  <si>
    <t xml:space="preserve">CrowdStrike</t>
  </si>
  <si>
    <t xml:space="preserve">CRWD</t>
  </si>
  <si>
    <t xml:space="preserve">Total revenue $1,436.0 - $1,442.0 million  $5,914.7 - $5,958.7 million</t>
  </si>
  <si>
    <t xml:space="preserve">Meta Platforms</t>
  </si>
  <si>
    <t xml:space="preserve">META</t>
  </si>
  <si>
    <t xml:space="preserve">We expect second quarter 2026 total revenue to be in the range of $58-61 billion.</t>
  </si>
  <si>
    <t xml:space="preserve">Lumentum</t>
  </si>
  <si>
    <t xml:space="preserve">LITE</t>
  </si>
  <si>
    <t xml:space="preserve">• Net revenue in the range of $960 million to $1.01 billion</t>
  </si>
  <si>
    <t xml:space="preserve">MACOM TECHNOLOGY SOLUTIONS</t>
  </si>
  <si>
    <t xml:space="preserve">MTSI</t>
  </si>
  <si>
    <t xml:space="preserve">For the fiscal third quarter ending July 3, 2026, MACOM expects revenue to be in the range of $331 million to $339 million.</t>
  </si>
  <si>
    <t xml:space="preserve">Microchip Technology</t>
  </si>
  <si>
    <t xml:space="preserve">MCHP</t>
  </si>
  <si>
    <t xml:space="preserve">Net Sales $1.442 to $1.469 billion</t>
  </si>
  <si>
    <t xml:space="preserve">CREDO TECHNOLOGY GROUP HOLDING LTD</t>
  </si>
  <si>
    <t xml:space="preserve">CRDO</t>
  </si>
  <si>
    <t xml:space="preserve">• Revenue is expected to be between $465.0 million and $475.0 million</t>
  </si>
  <si>
    <t xml:space="preserve">ZILLOW GROUP</t>
  </si>
  <si>
    <t xml:space="preserve">Z</t>
  </si>
  <si>
    <t xml:space="preserve">Outlook The following table presents our outlook for the three months ending June 30, 2026 (in millions): 35 ●​ In Q2, we expect total revenue of $750 million to $765 million. ○​ We expect Q2 year-over-year For Sale revenue growth to be similar to Q1. ■​ We expect Residential revenue growth of mid-single digits year over year. ■​ We expect Mortgages revenue to grow at similar levels to Q1. ○​ We expect Rentals year-over-year revenue growth of approximately 30%. ●​ Q2 Adjusted EBITDA expenses are</t>
  </si>
  <si>
    <t xml:space="preserve">Lam Research</t>
  </si>
  <si>
    <t xml:space="preserve">LRCX</t>
  </si>
  <si>
    <t xml:space="preserve">Revenue $6.60 Billion +/- $400 Million  —  $6.60 Billion +/- $400 Million</t>
  </si>
  <si>
    <t xml:space="preserve">Applied Materials</t>
  </si>
  <si>
    <t xml:space="preserve">AMAT</t>
  </si>
  <si>
    <t xml:space="preserve">Total revenue   $ 8,950  +/- $ 500</t>
  </si>
  <si>
    <t xml:space="preserve">ELASTIC</t>
  </si>
  <si>
    <t xml:space="preserve">ESTC</t>
  </si>
  <si>
    <t xml:space="preserve">• Total revenue is expected to be between $469 million and $470 million, representing 13.1% year-over-year growth at the midpoint (12.8% year-over-year constant currency growth at the midpoint)</t>
  </si>
  <si>
    <t xml:space="preserve">Palo Alto Networks</t>
  </si>
  <si>
    <t xml:space="preserve">PANW</t>
  </si>
  <si>
    <t xml:space="preserve">• Total revenue in the range of $3.345 billion to $3.355 billion, representing year-over-year growth of 32%.</t>
  </si>
  <si>
    <t xml:space="preserve">Autodesk</t>
  </si>
  <si>
    <t xml:space="preserve">ADSK</t>
  </si>
  <si>
    <t xml:space="preserve">Revenue (in millions)  $2,005 - $2,015</t>
  </si>
  <si>
    <t xml:space="preserve">Gen Digital</t>
  </si>
  <si>
    <t xml:space="preserve">GEN</t>
  </si>
  <si>
    <t xml:space="preserve">• Q1 FY27 Revenue expected to be in the range of $1,300 million to $1,325 million</t>
  </si>
  <si>
    <t xml:space="preserve">OKTA</t>
  </si>
  <si>
    <t xml:space="preserve">• Total revenue of $790 million to $794 million, representing a growth rate of 9% year-over-year;</t>
  </si>
  <si>
    <t xml:space="preserve">APPLIED OPTOELECTRONICS</t>
  </si>
  <si>
    <t xml:space="preserve">AAOI</t>
  </si>
  <si>
    <t xml:space="preserve">· Revenue in the range of $180 million to $198 million.</t>
  </si>
  <si>
    <t xml:space="preserve">Marvell Technology</t>
  </si>
  <si>
    <t xml:space="preserve">MRVL</t>
  </si>
  <si>
    <t xml:space="preserve">• Net revenue is expected to be $2.700 billion +/- 5%.</t>
  </si>
  <si>
    <t xml:space="preserve">BILL HOLDINGS</t>
  </si>
  <si>
    <t xml:space="preserve">BILL</t>
  </si>
  <si>
    <t xml:space="preserve">Total revenue (millions) $425.0 - $435.0</t>
  </si>
  <si>
    <t xml:space="preserve">Equinix</t>
  </si>
  <si>
    <t xml:space="preserve">EQIX</t>
  </si>
  <si>
    <t xml:space="preserve">For the second quarter of 2026, the company expects revenues to range between $2.571 and $2.611 billion, an increase of 6% at the midpoint over the previous quarter, on both an as-reported and a normalized and constant currency basis.</t>
  </si>
  <si>
    <t xml:space="preserve">IPG PHOTONICS CORP</t>
  </si>
  <si>
    <t xml:space="preserve">IPGP</t>
  </si>
  <si>
    <t xml:space="preserve">For the second quarter of 2026, IPG expects revenue of $260 million to $290 million, adjusted gross margin between 37% and 40% and adjusted operating expenses of $92 million to $95 million.</t>
  </si>
  <si>
    <t xml:space="preserve">ON Semiconductor</t>
  </si>
  <si>
    <t xml:space="preserve">ON</t>
  </si>
  <si>
    <t xml:space="preserve">Revenue $1,535 to $1,635 million</t>
  </si>
  <si>
    <t xml:space="preserve">CURTISS WRIGHT</t>
  </si>
  <si>
    <t xml:space="preserve">CW</t>
  </si>
  <si>
    <t xml:space="preserve">3 May 7, 2026 Proprietary © 2026 Curtiss-Wright First Quarter 2026 Highlights STRONG Q1 EXECUTION DRIVES HIGHER FULL-YEAR 2026 OUTLOOK ▪ Sales of $914M, up 13% overall (12% organic) ▪ 14% growth in A&amp;D markets, stronger than expected, and 12% growth in Commercial markets ▪ Operating Income of $160M, up 20%;</t>
  </si>
  <si>
    <t xml:space="preserve">Airbnb</t>
  </si>
  <si>
    <t xml:space="preserve">ABNB</t>
  </si>
  <si>
    <t xml:space="preserve">Q2 2026 ¦ We expect to generate revenue of $3.54 billion to $3.60 billion, representing year-over-year growth of 14% to 16%,</t>
  </si>
  <si>
    <t xml:space="preserve">Skyworks Solutions</t>
  </si>
  <si>
    <t xml:space="preserve">SWKS</t>
  </si>
  <si>
    <t xml:space="preserve">“For the June quarter, we anticipate revenue of $900 million to $950 million, with non-GAAP diluted earnings per share of $1.03 at the mid-point of the revenue range,” said Philip Carter, chief financial officer and senior vice president of Skyworks.</t>
  </si>
  <si>
    <t xml:space="preserve">DuPont</t>
  </si>
  <si>
    <t xml:space="preserve">DD</t>
  </si>
  <si>
    <t xml:space="preserve">“For the second quarter 2026, we estimate net sales of about $1.8 billion, operating EBITDA of about $430 million and adjusted EPS of approximately $0.59 per share,” said Antonella Franzen, DuPont Chief Financial Officer. “Our second quarter guidance estimates organic sales growth of about 3%, with currency a slight tailwind in the quarter.”</t>
  </si>
  <si>
    <t xml:space="preserve">DYNATRACE INC</t>
  </si>
  <si>
    <t xml:space="preserve">DT</t>
  </si>
  <si>
    <t xml:space="preserve">Total revenue $547 - $551</t>
  </si>
  <si>
    <t xml:space="preserve">DOCUSIGN</t>
  </si>
  <si>
    <t xml:space="preserve">DOCU</t>
  </si>
  <si>
    <t xml:space="preserve">Revenue [1] $865 to $869  8%</t>
  </si>
  <si>
    <t xml:space="preserve">RINGCENTRAL INC</t>
  </si>
  <si>
    <t xml:space="preserve">RNG</t>
  </si>
  <si>
    <t xml:space="preserve">• Total revenue of $648 to $653 million.</t>
  </si>
  <si>
    <t xml:space="preserve">Adobe Inc.</t>
  </si>
  <si>
    <t xml:space="preserve">ADBE</t>
  </si>
  <si>
    <t xml:space="preserve">2026-08-31</t>
  </si>
  <si>
    <t xml:space="preserve">Total revenue $6.67 billion to $6.72 billion</t>
  </si>
  <si>
    <t xml:space="preserve">Dollar Tree</t>
  </si>
  <si>
    <t xml:space="preserve">DLTR</t>
  </si>
  <si>
    <t xml:space="preserve">The Company expects net sales from continuing operations for the second quarter will range from $4.8 billion to $4.9 billion, based on comparable store net sales growth in the range of 2.5% to 3.5%.</t>
  </si>
  <si>
    <t xml:space="preserve">ZOOM COMMUNICATIONS</t>
  </si>
  <si>
    <t xml:space="preserve">ZM</t>
  </si>
  <si>
    <t xml:space="preserve">• Second Quarter Fiscal Year 2027: Total revenue is expected to be between $1.265 billion and $1.270 billion and revenue in constant currency is expected to be between $1.262 billion and $1.267 billion.</t>
  </si>
  <si>
    <t xml:space="preserve">SENTINELONE INC</t>
  </si>
  <si>
    <t xml:space="preserve">S</t>
  </si>
  <si>
    <t xml:space="preserve">Revenue $289 - 291 million  $1.195 - 1.205 billion</t>
  </si>
  <si>
    <t xml:space="preserve">ROCKET LAB CORP</t>
  </si>
  <si>
    <t xml:space="preserve">RKLB</t>
  </si>
  <si>
    <t xml:space="preserve">• Revenue between $225 million and $240 million.</t>
  </si>
  <si>
    <t xml:space="preserve">Broadcom</t>
  </si>
  <si>
    <t xml:space="preserve">AVGO</t>
  </si>
  <si>
    <t xml:space="preserve">• Third quarter revenue guidance of approximately $29.4 billion;</t>
  </si>
  <si>
    <t xml:space="preserve">REYNOLDS CONSUMER PRODUCTS INC</t>
  </si>
  <si>
    <t xml:space="preserve">REYN</t>
  </si>
  <si>
    <t xml:space="preserve">Second quarter 2026 Net Revenues are expected to be -2% to +1% compared to second quarter 2025 Net Revenues of $938 million.</t>
  </si>
  <si>
    <t xml:space="preserve">Cadence Design Systems</t>
  </si>
  <si>
    <t xml:space="preserve">CDNS</t>
  </si>
  <si>
    <t xml:space="preserve">Total Revenue ($ Millions) $ 1,275   $ 1,474    $1,555 - $1,595</t>
  </si>
  <si>
    <t xml:space="preserve">Align Technology</t>
  </si>
  <si>
    <t xml:space="preserve">ALGN</t>
  </si>
  <si>
    <t xml:space="preserve">• We expect Q2’26 worldwide revenues to be in the range of $1,040M to $1,060M, up approximately 3% to 5% year-over-year</t>
  </si>
  <si>
    <t xml:space="preserve">EPAM SYSTEMS</t>
  </si>
  <si>
    <t xml:space="preserve">EPAM</t>
  </si>
  <si>
    <t xml:space="preserve">• The Company expects revenues will be in the range of $1.400 billion to $1.415 billion for the second quarter, reflecting year-over-year growth of 4.0% at the midpoint of the range.</t>
  </si>
  <si>
    <t xml:space="preserve">PERMIAN RESOURCES</t>
  </si>
  <si>
    <t xml:space="preserve">PR</t>
  </si>
  <si>
    <t xml:space="preserve">Severance and ad valorem taxes (% of revenue) 6.5% — 8.5% Total cash capital expenditure program ($MM) $1,750 — $1,950</t>
  </si>
  <si>
    <t xml:space="preserve">Salesforce</t>
  </si>
  <si>
    <t xml:space="preserve">CRM</t>
  </si>
  <si>
    <t xml:space="preserve">Revenue $11.27 - $11.35 billion</t>
  </si>
  <si>
    <t xml:space="preserve">GoDaddy</t>
  </si>
  <si>
    <t xml:space="preserve">GDDY</t>
  </si>
  <si>
    <t xml:space="preserve">For the second quarter ending June 30, 2026, GoDaddy expects total revenue in the range of $1.285 billion to $1.305 billion, representing year-over-year growth of 6% at the midpoint versus the same period in 2025.</t>
  </si>
  <si>
    <t xml:space="preserve">Accenture</t>
  </si>
  <si>
    <t xml:space="preserve">ACN</t>
  </si>
  <si>
    <t xml:space="preserve">Revenues $18.35B – $19.0B</t>
  </si>
  <si>
    <t xml:space="preserve">CIRRUS LOGIC</t>
  </si>
  <si>
    <t xml:space="preserve">CRUS</t>
  </si>
  <si>
    <t xml:space="preserve">• Revenue is expected to range between $430 million and $490 million;</t>
  </si>
  <si>
    <t xml:space="preserve">Cognizant</t>
  </si>
  <si>
    <t xml:space="preserve">CTSH</t>
  </si>
  <si>
    <t xml:space="preserve">• Second quarter revenue is expected to be $5.45 to $5.52 billion, growth of 3.8% to 5.3%, or 3.2% to 4.7% in constant currency.</t>
  </si>
  <si>
    <t xml:space="preserve">CoStar Group</t>
  </si>
  <si>
    <t xml:space="preserve">CSGP</t>
  </si>
  <si>
    <t xml:space="preserve">The Company expects revenue for the second quarter of 2026 in the range of $922 million to $932 million, representing revenue growth of approximately 19% year-over-year at the midpoint of the range.</t>
  </si>
  <si>
    <t xml:space="preserve">MATCH GROUP INC</t>
  </si>
  <si>
    <t xml:space="preserve">MTCH</t>
  </si>
  <si>
    <t xml:space="preserve">We expect Q2 Total Revenue for Match Group of $850 million to $860 million, down 2% to flat Y/Y.</t>
  </si>
  <si>
    <t xml:space="preserve">Fidelity National Information Services</t>
  </si>
  <si>
    <t xml:space="preserve">FIS</t>
  </si>
  <si>
    <t xml:space="preserve">Revenue $3,375 - $3,395  $13,770 - $13,850</t>
  </si>
  <si>
    <t xml:space="preserve">AppLovin</t>
  </si>
  <si>
    <t xml:space="preserve">APP</t>
  </si>
  <si>
    <t xml:space="preserve">Revenue $1,915  $1,945</t>
  </si>
  <si>
    <t xml:space="preserve">SAILPOINT</t>
  </si>
  <si>
    <t xml:space="preserve">SAIL</t>
  </si>
  <si>
    <t xml:space="preserve">Total revenue $308 to $312 $1,265 to $1,275</t>
  </si>
  <si>
    <t xml:space="preserve">Aptiv</t>
  </si>
  <si>
    <t xml:space="preserve">APTV</t>
  </si>
  <si>
    <t xml:space="preserve">Net sales  $3,200 - $3,400 $12,800 - $13,200</t>
  </si>
  <si>
    <t xml:space="preserve">ENPHASE ENERGY</t>
  </si>
  <si>
    <t xml:space="preserve">ENPH</t>
  </si>
  <si>
    <t xml:space="preserve">• Revenue to be within a range of $280.0 million to $310.0 million, which includes shipments of 100 to 110 MWh of IQ Batteries.</t>
  </si>
  <si>
    <t xml:space="preserve">DOLBY LABORATORIES</t>
  </si>
  <si>
    <t xml:space="preserve">DLB</t>
  </si>
  <si>
    <t xml:space="preserve">Total revenue is estimated to range from $295 million to $325 million.</t>
  </si>
  <si>
    <t xml:space="preserve">Lululemon Athletica</t>
  </si>
  <si>
    <t xml:space="preserve">LULU</t>
  </si>
  <si>
    <t xml:space="preserve">For the second quarter of 2026, the Company expects net revenue to be in the range of $2.450 billion to $2.475 billion, representing a decline of 3% to 2%.</t>
  </si>
  <si>
    <t xml:space="preserve">BATH AND BODY WORKS</t>
  </si>
  <si>
    <t xml:space="preserve">BBWI</t>
  </si>
  <si>
    <t xml:space="preserve">For the second quarter of 2026, the company is forecasting net sales to decline between 5% to 3% compared to $1,549 million in the second quarter of 2025.</t>
  </si>
  <si>
    <t xml:space="preserve">Vertiv</t>
  </si>
  <si>
    <t xml:space="preserve">VRT</t>
  </si>
  <si>
    <t xml:space="preserve">Net sales $3,250M - $3,450M</t>
  </si>
  <si>
    <t xml:space="preserve">CHENIERE ENERGY</t>
  </si>
  <si>
    <t xml:space="preserve">LNG</t>
  </si>
  <si>
    <t xml:space="preserve">• During the three months ended March 31, 2026, Cheniere generated revenues of approximately $5.9 billion, Consolidated Adjusted EBITDA 3 of approximately $2.3 billion, Distributable Cash Flow 3 of approximately $1.7 billion, and net loss 1,2 of approximately $3.5 billion.</t>
  </si>
  <si>
    <t xml:space="preserve">TRADE DESK INC</t>
  </si>
  <si>
    <t xml:space="preserve">TTD</t>
  </si>
  <si>
    <t xml:space="preserve">• Revenue at least $750 million</t>
  </si>
  <si>
    <t xml:space="preserve">Supermicro</t>
  </si>
  <si>
    <t xml:space="preserve">SMCI</t>
  </si>
  <si>
    <t xml:space="preserve">The Company expects net sales in the range of $11.0 billion and $12.5 billion for the fourth quarter of fiscal year 2026 ending June 30, 2026, GAAP net income per diluted share of $0.53 to $0.67 and non-GAAP net income per diluted share of $0.65 to $0.79.</t>
  </si>
  <si>
    <t xml:space="preserve">ROCKET COMPANIES INC</t>
  </si>
  <si>
    <t xml:space="preserve">RKT</t>
  </si>
  <si>
    <t xml:space="preserve">In Q2 2026, we expect adjusted revenue between $2.7 billion to $2.9 billion.</t>
  </si>
  <si>
    <t xml:space="preserve">BXP, Inc.</t>
  </si>
  <si>
    <t xml:space="preserve">BXP</t>
  </si>
  <si>
    <t xml:space="preserve">• Consistent with the strategic asset sales plan outlined at our Investor Day, BXP has generated approximately $1.2 billion of aggregate net proceeds from completed asset sales to date, including approximately $180.0 million since our last earnings call on January 28, 2026, further enhancing balance sheet flexibility and supporting our capital needs and strategic priorities.</t>
  </si>
  <si>
    <t xml:space="preserve">T-Mobile US</t>
  </si>
  <si>
    <t xml:space="preserve">TMUS</t>
  </si>
  <si>
    <t xml:space="preserve">• Core Adjusted EBITDA, which is Adjusted EBITDA less lease revenues, is expected to be between $37.1 billion and $37.5 billion, an increase at the midpoint from prior guidance of $37.0 billion to $37.5 billion.</t>
  </si>
  <si>
    <t xml:space="preserve">작성 기준일</t>
  </si>
  <si>
    <t xml:space="preserve">2026-09-25 23:04 KST</t>
  </si>
  <si>
    <t xml:space="preserve">대상</t>
  </si>
  <si>
    <r>
      <rPr>
        <sz val="11"/>
        <color theme="1"/>
        <rFont val="Calibri"/>
        <family val="2"/>
        <charset val="1"/>
      </rPr>
      <t xml:space="preserve">Russell 1000 (iShares IWB </t>
    </r>
    <r>
      <rPr>
        <sz val="11"/>
        <color theme="1"/>
        <rFont val="WenQuanYi Zen Hei"/>
        <family val="2"/>
      </rPr>
      <t xml:space="preserve">보유종목</t>
    </r>
    <r>
      <rPr>
        <sz val="11"/>
        <color theme="1"/>
        <rFont val="Calibri"/>
        <family val="2"/>
        <charset val="1"/>
      </rPr>
      <t xml:space="preserve">, 1012</t>
    </r>
    <r>
      <rPr>
        <sz val="11"/>
        <color theme="1"/>
        <rFont val="WenQuanYi Zen Hei"/>
        <family val="2"/>
      </rPr>
      <t xml:space="preserve">개 기업</t>
    </r>
    <r>
      <rPr>
        <sz val="11"/>
        <color theme="1"/>
        <rFont val="Calibri"/>
        <family val="2"/>
        <charset val="1"/>
      </rPr>
      <t xml:space="preserve">, </t>
    </r>
    <r>
      <rPr>
        <sz val="11"/>
        <color theme="1"/>
        <rFont val="WenQuanYi Zen Hei"/>
        <family val="2"/>
      </rPr>
      <t xml:space="preserve">동일 기업 복수 주식 클래스 제외</t>
    </r>
    <r>
      <rPr>
        <sz val="11"/>
        <color theme="1"/>
        <rFont val="Calibri"/>
        <family val="2"/>
        <charset val="1"/>
      </rPr>
      <t xml:space="preserve">)</t>
    </r>
  </si>
  <si>
    <r>
      <rPr>
        <b val="true"/>
        <sz val="11"/>
        <rFont val="WenQuanYi Zen Hei"/>
        <family val="2"/>
      </rPr>
      <t xml:space="preserve">최근 분기</t>
    </r>
    <r>
      <rPr>
        <b val="true"/>
        <sz val="11"/>
        <rFont val="Cambria"/>
        <family val="0"/>
        <charset val="1"/>
      </rPr>
      <t xml:space="preserve">(Q0)</t>
    </r>
  </si>
  <si>
    <r>
      <rPr>
        <sz val="11"/>
        <color theme="1"/>
        <rFont val="WenQuanYi Zen Hei"/>
        <family val="2"/>
      </rPr>
      <t xml:space="preserve">각 기업이 가장 최근에 실적을 발표한 분기 </t>
    </r>
    <r>
      <rPr>
        <sz val="11"/>
        <color theme="1"/>
        <rFont val="Calibri"/>
        <family val="2"/>
        <charset val="1"/>
      </rPr>
      <t xml:space="preserve">(Yahoo Finance </t>
    </r>
    <r>
      <rPr>
        <sz val="11"/>
        <color theme="1"/>
        <rFont val="WenQuanYi Zen Hei"/>
        <family val="2"/>
      </rPr>
      <t xml:space="preserve">분기 손익계산서 기준</t>
    </r>
    <r>
      <rPr>
        <sz val="11"/>
        <color theme="1"/>
        <rFont val="Calibri"/>
        <family val="2"/>
        <charset val="1"/>
      </rPr>
      <t xml:space="preserve">, </t>
    </r>
    <r>
      <rPr>
        <sz val="11"/>
        <color theme="1"/>
        <rFont val="WenQuanYi Zen Hei"/>
        <family val="2"/>
      </rPr>
      <t xml:space="preserve">값이 빈 최신 분기는 제외</t>
    </r>
    <r>
      <rPr>
        <sz val="11"/>
        <color theme="1"/>
        <rFont val="Calibri"/>
        <family val="2"/>
        <charset val="1"/>
      </rPr>
      <t xml:space="preserve">)</t>
    </r>
  </si>
  <si>
    <t xml:space="preserve">회사 가이던스</t>
  </si>
  <si>
    <r>
      <rPr>
        <sz val="11"/>
        <color theme="1"/>
        <rFont val="Calibri"/>
        <family val="2"/>
        <charset val="1"/>
      </rPr>
      <t xml:space="preserve">Q0 </t>
    </r>
    <r>
      <rPr>
        <sz val="11"/>
        <color theme="1"/>
        <rFont val="WenQuanYi Zen Hei"/>
        <family val="2"/>
      </rPr>
      <t xml:space="preserve">직전 분기 실적 발표문</t>
    </r>
    <r>
      <rPr>
        <sz val="11"/>
        <color theme="1"/>
        <rFont val="Calibri"/>
        <family val="2"/>
        <charset val="1"/>
      </rPr>
      <t xml:space="preserve">(SEC 8-K Item 2.02, Exhibit 99)</t>
    </r>
    <r>
      <rPr>
        <sz val="11"/>
        <color theme="1"/>
        <rFont val="WenQuanYi Zen Hei"/>
        <family val="2"/>
      </rPr>
      <t xml:space="preserve">에 회사가 제시한 </t>
    </r>
    <r>
      <rPr>
        <sz val="11"/>
        <color theme="1"/>
        <rFont val="Calibri"/>
        <family val="2"/>
        <charset val="1"/>
      </rPr>
      <t xml:space="preserve">'Q0 </t>
    </r>
    <r>
      <rPr>
        <sz val="11"/>
        <color theme="1"/>
        <rFont val="WenQuanYi Zen Hei"/>
        <family val="2"/>
      </rPr>
      <t xml:space="preserve">매출 전망</t>
    </r>
    <r>
      <rPr>
        <sz val="11"/>
        <color theme="1"/>
        <rFont val="Calibri"/>
        <family val="2"/>
        <charset val="1"/>
      </rPr>
      <t xml:space="preserve">'. </t>
    </r>
    <r>
      <rPr>
        <sz val="11"/>
        <color theme="1"/>
        <rFont val="WenQuanYi Zen Hei"/>
        <family val="2"/>
      </rPr>
      <t xml:space="preserve">분기 중 수정 발표가 있으면 가장 최근 것</t>
    </r>
    <r>
      <rPr>
        <sz val="11"/>
        <color theme="1"/>
        <rFont val="Calibri"/>
        <family val="2"/>
        <charset val="1"/>
      </rPr>
      <t xml:space="preserve">. </t>
    </r>
    <r>
      <rPr>
        <sz val="11"/>
        <color theme="1"/>
        <rFont val="WenQuanYi Zen Hei"/>
        <family val="2"/>
      </rPr>
      <t xml:space="preserve">규칙 기반 문장 추출 → 근거 문장 열에 원문 표기</t>
    </r>
  </si>
  <si>
    <t xml:space="preserve">가이던스 비교 가능</t>
  </si>
  <si>
    <r>
      <rPr>
        <sz val="11"/>
        <color theme="1"/>
        <rFont val="Calibri"/>
        <family val="2"/>
        <charset val="1"/>
      </rPr>
      <t xml:space="preserve">151</t>
    </r>
    <r>
      <rPr>
        <sz val="11"/>
        <color theme="1"/>
        <rFont val="WenQuanYi Zen Hei"/>
        <family val="2"/>
      </rPr>
      <t xml:space="preserve">개 기업 </t>
    </r>
    <r>
      <rPr>
        <sz val="11"/>
        <color theme="1"/>
        <rFont val="Calibri"/>
        <family val="2"/>
        <charset val="1"/>
      </rPr>
      <t xml:space="preserve">(</t>
    </r>
    <r>
      <rPr>
        <sz val="11"/>
        <color theme="1"/>
        <rFont val="WenQuanYi Zen Hei"/>
        <family val="2"/>
      </rPr>
      <t xml:space="preserve">분기 매출 가이던스를 숫자로 제시한 기업</t>
    </r>
    <r>
      <rPr>
        <sz val="11"/>
        <color theme="1"/>
        <rFont val="Calibri"/>
        <family val="2"/>
        <charset val="1"/>
      </rPr>
      <t xml:space="preserve">). </t>
    </r>
    <r>
      <rPr>
        <sz val="11"/>
        <color theme="1"/>
        <rFont val="WenQuanYi Zen Hei"/>
        <family val="2"/>
      </rPr>
      <t xml:space="preserve">나머지는 가이던스 미제공</t>
    </r>
    <r>
      <rPr>
        <sz val="11"/>
        <color theme="1"/>
        <rFont val="Calibri"/>
        <family val="2"/>
        <charset val="1"/>
      </rPr>
      <t xml:space="preserve">·</t>
    </r>
    <r>
      <rPr>
        <sz val="11"/>
        <color theme="1"/>
        <rFont val="WenQuanYi Zen Hei"/>
        <family val="2"/>
      </rPr>
      <t xml:space="preserve">연간 가이던스만 제공</t>
    </r>
    <r>
      <rPr>
        <sz val="11"/>
        <color theme="1"/>
        <rFont val="Calibri"/>
        <family val="2"/>
        <charset val="1"/>
      </rPr>
      <t xml:space="preserve">·EPS</t>
    </r>
    <r>
      <rPr>
        <sz val="11"/>
        <color theme="1"/>
        <rFont val="WenQuanYi Zen Hei"/>
        <family val="2"/>
      </rPr>
      <t xml:space="preserve">만 제공</t>
    </r>
    <r>
      <rPr>
        <sz val="11"/>
        <color theme="1"/>
        <rFont val="Calibri"/>
        <family val="2"/>
        <charset val="1"/>
      </rPr>
      <t xml:space="preserve">·</t>
    </r>
    <r>
      <rPr>
        <sz val="11"/>
        <color theme="1"/>
        <rFont val="WenQuanYi Zen Hei"/>
        <family val="2"/>
      </rPr>
      <t xml:space="preserve">보도자료 외</t>
    </r>
    <r>
      <rPr>
        <sz val="11"/>
        <color theme="1"/>
        <rFont val="Calibri"/>
        <family val="2"/>
        <charset val="1"/>
      </rPr>
      <t xml:space="preserve">(</t>
    </r>
    <r>
      <rPr>
        <sz val="11"/>
        <color theme="1"/>
        <rFont val="WenQuanYi Zen Hei"/>
        <family val="2"/>
      </rPr>
      <t xml:space="preserve">컨퍼런스콜</t>
    </r>
    <r>
      <rPr>
        <sz val="11"/>
        <color theme="1"/>
        <rFont val="Calibri"/>
        <family val="2"/>
        <charset val="1"/>
      </rPr>
      <t xml:space="preserve">)</t>
    </r>
    <r>
      <rPr>
        <sz val="11"/>
        <color theme="1"/>
        <rFont val="WenQuanYi Zen Hei"/>
        <family val="2"/>
      </rPr>
      <t xml:space="preserve">에서만 제공</t>
    </r>
  </si>
  <si>
    <r>
      <rPr>
        <b val="true"/>
        <sz val="11"/>
        <rFont val="Cambria"/>
        <family val="0"/>
        <charset val="1"/>
      </rPr>
      <t xml:space="preserve">'</t>
    </r>
    <r>
      <rPr>
        <b val="true"/>
        <sz val="11"/>
        <rFont val="WenQuanYi Zen Hei"/>
        <family val="2"/>
      </rPr>
      <t xml:space="preserve">크게 상회</t>
    </r>
    <r>
      <rPr>
        <b val="true"/>
        <sz val="11"/>
        <rFont val="Cambria"/>
        <family val="0"/>
        <charset val="1"/>
      </rPr>
      <t xml:space="preserve">' </t>
    </r>
    <r>
      <rPr>
        <b val="true"/>
        <sz val="11"/>
        <rFont val="WenQuanYi Zen Hei"/>
        <family val="2"/>
      </rPr>
      <t xml:space="preserve">기준</t>
    </r>
  </si>
  <si>
    <r>
      <rPr>
        <sz val="11"/>
        <color theme="1"/>
        <rFont val="Calibri"/>
        <family val="2"/>
        <charset val="1"/>
      </rPr>
      <t xml:space="preserve">Q0 </t>
    </r>
    <r>
      <rPr>
        <sz val="11"/>
        <color theme="1"/>
        <rFont val="WenQuanYi Zen Hei"/>
        <family val="2"/>
      </rPr>
      <t xml:space="preserve">실제 매출이 가이던스 중앙값보다 </t>
    </r>
    <r>
      <rPr>
        <sz val="11"/>
        <color theme="1"/>
        <rFont val="Calibri"/>
        <family val="2"/>
        <charset val="1"/>
      </rPr>
      <t xml:space="preserve">5% </t>
    </r>
    <r>
      <rPr>
        <sz val="11"/>
        <color theme="1"/>
        <rFont val="WenQuanYi Zen Hei"/>
        <family val="2"/>
      </rPr>
      <t xml:space="preserve">이상 높고</t>
    </r>
    <r>
      <rPr>
        <sz val="11"/>
        <color theme="1"/>
        <rFont val="Calibri"/>
        <family val="2"/>
        <charset val="1"/>
      </rPr>
      <t xml:space="preserve">, </t>
    </r>
    <r>
      <rPr>
        <sz val="11"/>
        <color theme="1"/>
        <rFont val="WenQuanYi Zen Hei"/>
        <family val="2"/>
      </rPr>
      <t xml:space="preserve">가이던스 상단도 넘은 경우</t>
    </r>
  </si>
  <si>
    <r>
      <rPr>
        <sz val="11"/>
        <color theme="1"/>
        <rFont val="WenQuanYi Zen Hei"/>
        <family val="2"/>
      </rPr>
      <t xml:space="preserve">범위</t>
    </r>
    <r>
      <rPr>
        <sz val="11"/>
        <color theme="1"/>
        <rFont val="Calibri"/>
        <family val="2"/>
        <charset val="1"/>
      </rPr>
      <t xml:space="preserve">(</t>
    </r>
    <r>
      <rPr>
        <sz val="11"/>
        <color theme="1"/>
        <rFont val="WenQuanYi Zen Hei"/>
        <family val="2"/>
      </rPr>
      <t xml:space="preserve">하단</t>
    </r>
    <r>
      <rPr>
        <sz val="11"/>
        <color theme="1"/>
        <rFont val="Calibri"/>
        <family val="2"/>
        <charset val="1"/>
      </rPr>
      <t xml:space="preserve">~</t>
    </r>
    <r>
      <rPr>
        <sz val="11"/>
        <color theme="1"/>
        <rFont val="WenQuanYi Zen Hei"/>
        <family val="2"/>
      </rPr>
      <t xml:space="preserve">상단</t>
    </r>
    <r>
      <rPr>
        <sz val="11"/>
        <color theme="1"/>
        <rFont val="Calibri"/>
        <family val="2"/>
        <charset val="1"/>
      </rPr>
      <t xml:space="preserve">), ±</t>
    </r>
    <r>
      <rPr>
        <sz val="11"/>
        <color theme="1"/>
        <rFont val="WenQuanYi Zen Hei"/>
        <family val="2"/>
      </rPr>
      <t xml:space="preserve">금액</t>
    </r>
    <r>
      <rPr>
        <sz val="11"/>
        <color theme="1"/>
        <rFont val="Calibri"/>
        <family val="2"/>
        <charset val="1"/>
      </rPr>
      <t xml:space="preserve">, ±%, </t>
    </r>
    <r>
      <rPr>
        <sz val="11"/>
        <color theme="1"/>
        <rFont val="WenQuanYi Zen Hei"/>
        <family val="2"/>
      </rPr>
      <t xml:space="preserve">단일값</t>
    </r>
    <r>
      <rPr>
        <sz val="11"/>
        <color theme="1"/>
        <rFont val="Calibri"/>
        <family val="2"/>
        <charset val="1"/>
      </rPr>
      <t xml:space="preserve">(approximately), </t>
    </r>
    <r>
      <rPr>
        <sz val="11"/>
        <color theme="1"/>
        <rFont val="WenQuanYi Zen Hei"/>
        <family val="2"/>
      </rPr>
      <t xml:space="preserve">성장률</t>
    </r>
    <r>
      <rPr>
        <sz val="11"/>
        <color theme="1"/>
        <rFont val="Calibri"/>
        <family val="2"/>
        <charset val="1"/>
      </rPr>
      <t xml:space="preserve">(</t>
    </r>
    <r>
      <rPr>
        <sz val="11"/>
        <color theme="1"/>
        <rFont val="WenQuanYi Zen Hei"/>
        <family val="2"/>
      </rPr>
      <t xml:space="preserve">전년 동기 매출 </t>
    </r>
    <r>
      <rPr>
        <sz val="11"/>
        <color theme="1"/>
        <rFont val="Calibri"/>
        <family val="2"/>
        <charset val="1"/>
      </rPr>
      <t xml:space="preserve">× (1+</t>
    </r>
    <r>
      <rPr>
        <sz val="11"/>
        <color theme="1"/>
        <rFont val="WenQuanYi Zen Hei"/>
        <family val="2"/>
      </rPr>
      <t xml:space="preserve">가이던스 성장률</t>
    </r>
    <r>
      <rPr>
        <sz val="11"/>
        <color theme="1"/>
        <rFont val="Calibri"/>
        <family val="2"/>
        <charset val="1"/>
      </rPr>
      <t xml:space="preserve">)</t>
    </r>
    <r>
      <rPr>
        <sz val="11"/>
        <color theme="1"/>
        <rFont val="WenQuanYi Zen Hei"/>
        <family val="2"/>
      </rPr>
      <t xml:space="preserve">로 환산</t>
    </r>
    <r>
      <rPr>
        <sz val="11"/>
        <color theme="1"/>
        <rFont val="Calibri"/>
        <family val="2"/>
        <charset val="1"/>
      </rPr>
      <t xml:space="preserve">)</t>
    </r>
  </si>
  <si>
    <r>
      <rPr>
        <b val="true"/>
        <sz val="11"/>
        <rFont val="Cambria"/>
        <family val="0"/>
        <charset val="1"/>
      </rPr>
      <t xml:space="preserve">EPS </t>
    </r>
    <r>
      <rPr>
        <b val="true"/>
        <sz val="11"/>
        <rFont val="WenQuanYi Zen Hei"/>
        <family val="2"/>
      </rPr>
      <t xml:space="preserve">서프라이즈</t>
    </r>
  </si>
  <si>
    <r>
      <rPr>
        <sz val="11"/>
        <color theme="1"/>
        <rFont val="Calibri"/>
        <family val="2"/>
        <charset val="1"/>
      </rPr>
      <t xml:space="preserve">Yahoo Finance: </t>
    </r>
    <r>
      <rPr>
        <sz val="11"/>
        <color theme="1"/>
        <rFont val="WenQuanYi Zen Hei"/>
        <family val="2"/>
      </rPr>
      <t xml:space="preserve">최근 분기 실제 </t>
    </r>
    <r>
      <rPr>
        <sz val="11"/>
        <color theme="1"/>
        <rFont val="Calibri"/>
        <family val="2"/>
        <charset val="1"/>
      </rPr>
      <t xml:space="preserve">EPS vs </t>
    </r>
    <r>
      <rPr>
        <sz val="11"/>
        <color theme="1"/>
        <rFont val="WenQuanYi Zen Hei"/>
        <family val="2"/>
      </rPr>
      <t xml:space="preserve">애널리스트 컨센서스 </t>
    </r>
    <r>
      <rPr>
        <sz val="11"/>
        <color theme="1"/>
        <rFont val="Calibri"/>
        <family val="2"/>
        <charset val="1"/>
      </rPr>
      <t xml:space="preserve">(</t>
    </r>
    <r>
      <rPr>
        <sz val="11"/>
        <color theme="1"/>
        <rFont val="WenQuanYi Zen Hei"/>
        <family val="2"/>
      </rPr>
      <t xml:space="preserve">회사 가이던스가 아닌 참고 지표</t>
    </r>
    <r>
      <rPr>
        <sz val="11"/>
        <color theme="1"/>
        <rFont val="Calibri"/>
        <family val="2"/>
        <charset val="1"/>
      </rPr>
      <t xml:space="preserve">)</t>
    </r>
  </si>
  <si>
    <t xml:space="preserve">주가수익률</t>
  </si>
  <si>
    <r>
      <rPr>
        <sz val="11"/>
        <color theme="1"/>
        <rFont val="Calibri"/>
        <family val="2"/>
        <charset val="1"/>
      </rPr>
      <t xml:space="preserve">2025-09-25 </t>
    </r>
    <r>
      <rPr>
        <sz val="11"/>
        <color theme="1"/>
        <rFont val="WenQuanYi Zen Hei"/>
        <family val="2"/>
      </rPr>
      <t xml:space="preserve">종가 → </t>
    </r>
    <r>
      <rPr>
        <sz val="11"/>
        <color theme="1"/>
        <rFont val="Calibri"/>
        <family val="2"/>
        <charset val="1"/>
      </rPr>
      <t xml:space="preserve">2026-09-24 </t>
    </r>
    <r>
      <rPr>
        <sz val="11"/>
        <color theme="1"/>
        <rFont val="WenQuanYi Zen Hei"/>
        <family val="2"/>
      </rPr>
      <t xml:space="preserve">종가 </t>
    </r>
    <r>
      <rPr>
        <sz val="11"/>
        <color theme="1"/>
        <rFont val="Calibri"/>
        <family val="2"/>
        <charset val="1"/>
      </rPr>
      <t xml:space="preserve">(Yahoo, </t>
    </r>
    <r>
      <rPr>
        <sz val="11"/>
        <color theme="1"/>
        <rFont val="WenQuanYi Zen Hei"/>
        <family val="2"/>
      </rPr>
      <t xml:space="preserve">분할 조정</t>
    </r>
    <r>
      <rPr>
        <sz val="11"/>
        <color theme="1"/>
        <rFont val="Calibri"/>
        <family val="2"/>
        <charset val="1"/>
      </rPr>
      <t xml:space="preserve">·</t>
    </r>
    <r>
      <rPr>
        <sz val="11"/>
        <color theme="1"/>
        <rFont val="WenQuanYi Zen Hei"/>
        <family val="2"/>
      </rPr>
      <t xml:space="preserve">배당 제외</t>
    </r>
    <r>
      <rPr>
        <sz val="11"/>
        <color theme="1"/>
        <rFont val="Calibri"/>
        <family val="2"/>
        <charset val="1"/>
      </rPr>
      <t xml:space="preserve">)</t>
    </r>
  </si>
  <si>
    <t xml:space="preserve">PER / Forward PER</t>
  </si>
  <si>
    <r>
      <rPr>
        <sz val="11"/>
        <color theme="1"/>
        <rFont val="Calibri"/>
        <family val="2"/>
        <charset val="1"/>
      </rPr>
      <t xml:space="preserve">Yahoo Finance trailingPE / forwardPE (</t>
    </r>
    <r>
      <rPr>
        <sz val="11"/>
        <color theme="1"/>
        <rFont val="WenQuanYi Zen Hei"/>
        <family val="2"/>
      </rPr>
      <t xml:space="preserve">수집 시점 주가 기준</t>
    </r>
    <r>
      <rPr>
        <sz val="11"/>
        <color theme="1"/>
        <rFont val="Calibri"/>
        <family val="2"/>
        <charset val="1"/>
      </rPr>
      <t xml:space="preserve">). </t>
    </r>
    <r>
      <rPr>
        <sz val="11"/>
        <color theme="1"/>
        <rFont val="WenQuanYi Zen Hei"/>
        <family val="2"/>
      </rPr>
      <t xml:space="preserve">최근 </t>
    </r>
    <r>
      <rPr>
        <sz val="11"/>
        <color theme="1"/>
        <rFont val="Calibri"/>
        <family val="2"/>
        <charset val="1"/>
      </rPr>
      <t xml:space="preserve">12</t>
    </r>
    <r>
      <rPr>
        <sz val="11"/>
        <color theme="1"/>
        <rFont val="WenQuanYi Zen Hei"/>
        <family val="2"/>
      </rPr>
      <t xml:space="preserve">개월 적자 또는 향후 </t>
    </r>
    <r>
      <rPr>
        <sz val="11"/>
        <color theme="1"/>
        <rFont val="Calibri"/>
        <family val="2"/>
        <charset val="1"/>
      </rPr>
      <t xml:space="preserve">12</t>
    </r>
    <r>
      <rPr>
        <sz val="11"/>
        <color theme="1"/>
        <rFont val="WenQuanYi Zen Hei"/>
        <family val="2"/>
      </rPr>
      <t xml:space="preserve">개월 적자 예상이면 빈칸</t>
    </r>
  </si>
  <si>
    <r>
      <rPr>
        <b val="true"/>
        <sz val="11"/>
        <rFont val="Cambria"/>
        <family val="0"/>
        <charset val="1"/>
      </rPr>
      <t xml:space="preserve">1</t>
    </r>
    <r>
      <rPr>
        <b val="true"/>
        <sz val="11"/>
        <rFont val="WenQuanYi Zen Hei"/>
        <family val="2"/>
      </rPr>
      <t xml:space="preserve">년 주가수익률 빈칸</t>
    </r>
  </si>
  <si>
    <r>
      <rPr>
        <sz val="11"/>
        <color theme="1"/>
        <rFont val="WenQuanYi Zen Hei"/>
        <family val="2"/>
      </rPr>
      <t xml:space="preserve">시작일 이후 상장</t>
    </r>
    <r>
      <rPr>
        <sz val="11"/>
        <color theme="1"/>
        <rFont val="Calibri"/>
        <family val="2"/>
        <charset val="1"/>
      </rPr>
      <t xml:space="preserve">·</t>
    </r>
    <r>
      <rPr>
        <sz val="11"/>
        <color theme="1"/>
        <rFont val="WenQuanYi Zen Hei"/>
        <family val="2"/>
      </rPr>
      <t xml:space="preserve">분사한 종목 </t>
    </r>
    <r>
      <rPr>
        <sz val="11"/>
        <color theme="1"/>
        <rFont val="Calibri"/>
        <family val="2"/>
        <charset val="1"/>
      </rPr>
      <t xml:space="preserve">(</t>
    </r>
    <r>
      <rPr>
        <sz val="11"/>
        <color theme="1"/>
        <rFont val="WenQuanYi Zen Hei"/>
        <family val="2"/>
      </rPr>
      <t xml:space="preserve">상장 </t>
    </r>
    <r>
      <rPr>
        <sz val="11"/>
        <color theme="1"/>
        <rFont val="Calibri"/>
        <family val="2"/>
        <charset val="1"/>
      </rPr>
      <t xml:space="preserve">1</t>
    </r>
    <r>
      <rPr>
        <sz val="11"/>
        <color theme="1"/>
        <rFont val="WenQuanYi Zen Hei"/>
        <family val="2"/>
      </rPr>
      <t xml:space="preserve">년 미만</t>
    </r>
    <r>
      <rPr>
        <sz val="11"/>
        <color theme="1"/>
        <rFont val="Calibri"/>
        <family val="2"/>
        <charset val="1"/>
      </rPr>
      <t xml:space="preserve">)</t>
    </r>
  </si>
  <si>
    <r>
      <rPr>
        <b val="true"/>
        <sz val="11"/>
        <rFont val="WenQuanYi Zen Hei"/>
        <family val="2"/>
      </rPr>
      <t xml:space="preserve">매출</t>
    </r>
    <r>
      <rPr>
        <b val="true"/>
        <sz val="11"/>
        <rFont val="Cambria"/>
        <family val="0"/>
        <charset val="1"/>
      </rPr>
      <t xml:space="preserve">·</t>
    </r>
    <r>
      <rPr>
        <b val="true"/>
        <sz val="11"/>
        <rFont val="WenQuanYi Zen Hei"/>
        <family val="2"/>
      </rPr>
      <t xml:space="preserve">영업이익</t>
    </r>
  </si>
  <si>
    <r>
      <rPr>
        <sz val="11"/>
        <color theme="1"/>
        <rFont val="Calibri"/>
        <family val="2"/>
        <charset val="1"/>
      </rPr>
      <t xml:space="preserve">Yahoo Finance quarterly_income_stmt, </t>
    </r>
    <r>
      <rPr>
        <sz val="11"/>
        <color theme="1"/>
        <rFont val="WenQuanYi Zen Hei"/>
        <family val="2"/>
      </rPr>
      <t xml:space="preserve">백만 달러</t>
    </r>
    <r>
      <rPr>
        <sz val="11"/>
        <color theme="1"/>
        <rFont val="Calibri"/>
        <family val="2"/>
        <charset val="1"/>
      </rPr>
      <t xml:space="preserve">. </t>
    </r>
    <r>
      <rPr>
        <sz val="11"/>
        <color theme="1"/>
        <rFont val="WenQuanYi Zen Hei"/>
        <family val="2"/>
      </rPr>
      <t xml:space="preserve">영업이익 </t>
    </r>
    <r>
      <rPr>
        <sz val="11"/>
        <color theme="1"/>
        <rFont val="Calibri"/>
        <family val="2"/>
        <charset val="1"/>
      </rPr>
      <t xml:space="preserve">YoY </t>
    </r>
    <r>
      <rPr>
        <sz val="11"/>
        <color theme="1"/>
        <rFont val="WenQuanYi Zen Hei"/>
        <family val="2"/>
      </rPr>
      <t xml:space="preserve">규칙</t>
    </r>
    <r>
      <rPr>
        <sz val="11"/>
        <color theme="1"/>
        <rFont val="Calibri"/>
        <family val="2"/>
        <charset val="1"/>
      </rPr>
      <t xml:space="preserve">: Q-4 ≤ 0 → </t>
    </r>
    <r>
      <rPr>
        <sz val="11"/>
        <color theme="1"/>
        <rFont val="WenQuanYi Zen Hei"/>
        <family val="2"/>
      </rPr>
      <t xml:space="preserve">흑자전환</t>
    </r>
    <r>
      <rPr>
        <sz val="11"/>
        <color theme="1"/>
        <rFont val="Calibri"/>
        <family val="2"/>
        <charset val="1"/>
      </rPr>
      <t xml:space="preserve">/N/M, Q-4&gt;0 &amp; Q0&lt;0 → </t>
    </r>
    <r>
      <rPr>
        <sz val="11"/>
        <color theme="1"/>
        <rFont val="WenQuanYi Zen Hei"/>
        <family val="2"/>
      </rPr>
      <t xml:space="preserve">적자전환</t>
    </r>
  </si>
  <si>
    <t xml:space="preserve">주의</t>
  </si>
  <si>
    <r>
      <rPr>
        <sz val="11"/>
        <color theme="1"/>
        <rFont val="WenQuanYi Zen Hei"/>
        <family val="2"/>
      </rPr>
      <t xml:space="preserve">가이던스와 실제 매출의 기준</t>
    </r>
    <r>
      <rPr>
        <sz val="11"/>
        <color theme="1"/>
        <rFont val="Calibri"/>
        <family val="2"/>
        <charset val="1"/>
      </rPr>
      <t xml:space="preserve">(GAAP/</t>
    </r>
    <r>
      <rPr>
        <sz val="11"/>
        <color theme="1"/>
        <rFont val="WenQuanYi Zen Hei"/>
        <family val="2"/>
      </rPr>
      <t xml:space="preserve">비</t>
    </r>
    <r>
      <rPr>
        <sz val="11"/>
        <color theme="1"/>
        <rFont val="Calibri"/>
        <family val="2"/>
        <charset val="1"/>
      </rPr>
      <t xml:space="preserve">GAAP, </t>
    </r>
    <r>
      <rPr>
        <sz val="11"/>
        <color theme="1"/>
        <rFont val="WenQuanYi Zen Hei"/>
        <family val="2"/>
      </rPr>
      <t xml:space="preserve">환율</t>
    </r>
    <r>
      <rPr>
        <sz val="11"/>
        <color theme="1"/>
        <rFont val="Calibri"/>
        <family val="2"/>
        <charset val="1"/>
      </rPr>
      <t xml:space="preserve">·</t>
    </r>
    <r>
      <rPr>
        <sz val="11"/>
        <color theme="1"/>
        <rFont val="WenQuanYi Zen Hei"/>
        <family val="2"/>
      </rPr>
      <t xml:space="preserve">인수 효과 등</t>
    </r>
    <r>
      <rPr>
        <sz val="11"/>
        <color theme="1"/>
        <rFont val="Calibri"/>
        <family val="2"/>
        <charset val="1"/>
      </rPr>
      <t xml:space="preserve">)</t>
    </r>
    <r>
      <rPr>
        <sz val="11"/>
        <color theme="1"/>
        <rFont val="WenQuanYi Zen Hei"/>
        <family val="2"/>
      </rPr>
      <t xml:space="preserve">이 다를 수 있음</t>
    </r>
    <r>
      <rPr>
        <sz val="11"/>
        <color theme="1"/>
        <rFont val="Calibri"/>
        <family val="2"/>
        <charset val="1"/>
      </rPr>
      <t xml:space="preserve">. </t>
    </r>
    <r>
      <rPr>
        <sz val="11"/>
        <color theme="1"/>
        <rFont val="WenQuanYi Zen Hei"/>
        <family val="2"/>
      </rPr>
      <t xml:space="preserve">인수합병으로 매출이 늘어난 경우 가이던스에 반영되지 않았을 수 있으니 근거 문장을 확인할 것</t>
    </r>
    <r>
      <rPr>
        <sz val="11"/>
        <color theme="1"/>
        <rFont val="Calibri"/>
        <family val="2"/>
        <charset val="1"/>
      </rPr>
      <t xml:space="preserve">. </t>
    </r>
    <r>
      <rPr>
        <sz val="11"/>
        <color theme="1"/>
        <rFont val="WenQuanYi Zen Hei"/>
        <family val="2"/>
      </rPr>
      <t xml:space="preserve">투자 판단의 근거가 아닌 스크리닝 결과임</t>
    </r>
  </si>
</sst>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0.0"/>
  </numFmts>
  <fonts count="8">
    <font>
      <sz val="11"/>
      <color theme="1"/>
      <name val="Calibri"/>
      <family val="2"/>
      <charset val="1"/>
    </font>
    <font>
      <sz val="10"/>
      <name val="Arial"/>
      <family val="0"/>
    </font>
    <font>
      <sz val="10"/>
      <name val="Arial"/>
      <family val="0"/>
    </font>
    <font>
      <sz val="10"/>
      <name val="Arial"/>
      <family val="0"/>
    </font>
    <font>
      <b val="true"/>
      <sz val="11"/>
      <name val="WenQuanYi Zen Hei"/>
      <family val="2"/>
    </font>
    <font>
      <b val="true"/>
      <sz val="11"/>
      <name val="Cambria"/>
      <family val="0"/>
      <charset val="1"/>
    </font>
    <font>
      <sz val="11"/>
      <color theme="1"/>
      <name val="WenQuanYi Zen Hei"/>
      <family val="2"/>
    </font>
    <font>
      <u val="single"/>
      <sz val="11"/>
      <color rgb="FF0563C1"/>
      <name val="Cambria"/>
      <family val="0"/>
      <charset val="1"/>
    </font>
  </fonts>
  <fills count="3">
    <fill>
      <patternFill patternType="none"/>
    </fill>
    <fill>
      <patternFill patternType="gray125"/>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sec.gov/Archives/edgar/data/723125/000072312526000004/0000723125-26-000004-index.htm" TargetMode="External"/><Relationship Id="rId2" Type="http://schemas.openxmlformats.org/officeDocument/2006/relationships/hyperlink" Target="https://www.sec.gov/Archives/edgar/data/1177394/000162828026022204/0001628280-26-022204-index.htm" TargetMode="External"/><Relationship Id="rId3" Type="http://schemas.openxmlformats.org/officeDocument/2006/relationships/hyperlink" Target="https://www.sec.gov/Archives/edgar/data/1069258/000106925826000051/0001069258-26-000051-index.htm" TargetMode="External"/><Relationship Id="rId4" Type="http://schemas.openxmlformats.org/officeDocument/2006/relationships/hyperlink" Target="https://www.sec.gov/Archives/edgar/data/50863/000005086326000077/0000050863-26-000077-index.htm" TargetMode="External"/><Relationship Id="rId5" Type="http://schemas.openxmlformats.org/officeDocument/2006/relationships/hyperlink" Target="https://www.sec.gov/Archives/edgar/data/2023554/000162828026028879/0001628280-26-028879-index.htm" TargetMode="External"/><Relationship Id="rId6" Type="http://schemas.openxmlformats.org/officeDocument/2006/relationships/hyperlink" Target="https://www.sec.gov/Archives/edgar/data/2080126/000208012626000017/0002080126-26-000017-index.htm" TargetMode="External"/><Relationship Id="rId7" Type="http://schemas.openxmlformats.org/officeDocument/2006/relationships/hyperlink" Target="https://www.sec.gov/Archives/edgar/data/1713445/000171344526000067/0001713445-26-000067-index.htm" TargetMode="External"/><Relationship Id="rId8" Type="http://schemas.openxmlformats.org/officeDocument/2006/relationships/hyperlink" Target="https://www.sec.gov/Archives/edgar/data/8858/000000885826000040/0000008858-26-000040-index.htm" TargetMode="External"/><Relationship Id="rId9" Type="http://schemas.openxmlformats.org/officeDocument/2006/relationships/hyperlink" Target="https://www.sec.gov/Archives/edgar/data/1836833/000119312526257401/0001193125-26-257401-index.htm" TargetMode="External"/><Relationship Id="rId10" Type="http://schemas.openxmlformats.org/officeDocument/2006/relationships/hyperlink" Target="https://www.sec.gov/Archives/edgar/data/1002047/000119312526245196/0001193125-26-245196-index.htm" TargetMode="External"/><Relationship Id="rId11" Type="http://schemas.openxmlformats.org/officeDocument/2006/relationships/hyperlink" Target="https://www.sec.gov/Archives/edgar/data/97210/000119312526188706/0001193125-26-188706-index.htm" TargetMode="External"/><Relationship Id="rId12" Type="http://schemas.openxmlformats.org/officeDocument/2006/relationships/hyperlink" Target="https://www.sec.gov/Archives/edgar/data/1159152/000162828026036497/0001628280-26-036497-index.htm" TargetMode="External"/><Relationship Id="rId13" Type="http://schemas.openxmlformats.org/officeDocument/2006/relationships/hyperlink" Target="https://www.sec.gov/Archives/edgar/data/1280452/000143774926014182/0001437749-26-014182-index.htm" TargetMode="External"/><Relationship Id="rId14" Type="http://schemas.openxmlformats.org/officeDocument/2006/relationships/hyperlink" Target="https://www.sec.gov/Archives/edgar/data/1262039/000126203926000010/0001262039-26-000010-index.htm" TargetMode="External"/><Relationship Id="rId15" Type="http://schemas.openxmlformats.org/officeDocument/2006/relationships/hyperlink" Target="https://www.sec.gov/Archives/edgar/data/855658/000143774926014654/0001437749-26-014654-index.htm" TargetMode="External"/><Relationship Id="rId16" Type="http://schemas.openxmlformats.org/officeDocument/2006/relationships/hyperlink" Target="https://www.sec.gov/Archives/edgar/data/1596532/000159653226000074/0001596532-26-000074-index.htm" TargetMode="External"/><Relationship Id="rId17" Type="http://schemas.openxmlformats.org/officeDocument/2006/relationships/hyperlink" Target="https://www.sec.gov/Archives/edgar/data/1943896/000194389626000041/0001943896-26-000041-index.htm" TargetMode="External"/><Relationship Id="rId18" Type="http://schemas.openxmlformats.org/officeDocument/2006/relationships/hyperlink" Target="https://www.sec.gov/Archives/edgar/data/1474432/000147443226000046/0001474432-26-000046-index.htm" TargetMode="External"/><Relationship Id="rId19" Type="http://schemas.openxmlformats.org/officeDocument/2006/relationships/hyperlink" Target="https://www.sec.gov/Archives/edgar/data/1039399/000103939926000020/0001039399-26-000020-index.htm" TargetMode="External"/><Relationship Id="rId20" Type="http://schemas.openxmlformats.org/officeDocument/2006/relationships/hyperlink" Target="https://www.sec.gov/Archives/edgar/data/1321655/000132165526000026/0001321655-26-000026-index.htm" TargetMode="External"/><Relationship Id="rId21" Type="http://schemas.openxmlformats.org/officeDocument/2006/relationships/hyperlink" Target="https://www.sec.gov/Archives/edgar/data/820313/000110465926050984/0001104659-26-050984-index.htm" TargetMode="External"/><Relationship Id="rId22" Type="http://schemas.openxmlformats.org/officeDocument/2006/relationships/hyperlink" Target="https://www.sec.gov/Archives/edgar/data/1810806/000181080626000030/0001810806-26-000030-index.htm" TargetMode="External"/><Relationship Id="rId23" Type="http://schemas.openxmlformats.org/officeDocument/2006/relationships/hyperlink" Target="https://www.sec.gov/Archives/edgar/data/1650372/000165037226000024/0001650372-26-000024-index.htm" TargetMode="External"/><Relationship Id="rId24" Type="http://schemas.openxmlformats.org/officeDocument/2006/relationships/hyperlink" Target="https://www.sec.gov/Archives/edgar/data/1101302/000110130226000099/0001101302-26-000099-index.htm" TargetMode="External"/><Relationship Id="rId25" Type="http://schemas.openxmlformats.org/officeDocument/2006/relationships/hyperlink" Target="https://www.sec.gov/Archives/edgar/data/927003/000092700326000012/0000927003-26-000012-index.htm" TargetMode="External"/><Relationship Id="rId26" Type="http://schemas.openxmlformats.org/officeDocument/2006/relationships/hyperlink" Target="https://www.sec.gov/Archives/edgar/data/2064953/000206495326000045/0002064953-26-000045-index.htm" TargetMode="External"/><Relationship Id="rId27" Type="http://schemas.openxmlformats.org/officeDocument/2006/relationships/hyperlink" Target="https://www.sec.gov/Archives/edgar/data/1601046/000160104626000019/0001601046-26-000019-index.htm" TargetMode="External"/><Relationship Id="rId28" Type="http://schemas.openxmlformats.org/officeDocument/2006/relationships/hyperlink" Target="https://www.sec.gov/Archives/edgar/data/1579878/000162828026035087/0001628280-26-035087-index.htm" TargetMode="External"/><Relationship Id="rId29" Type="http://schemas.openxmlformats.org/officeDocument/2006/relationships/hyperlink" Target="https://www.sec.gov/Archives/edgar/data/1177609/000117760926000015/0001177609-26-000015-index.htm" TargetMode="External"/><Relationship Id="rId30" Type="http://schemas.openxmlformats.org/officeDocument/2006/relationships/hyperlink" Target="https://www.sec.gov/Archives/edgar/data/7536/000000753626000077/0000007536-26-000077-index.htm" TargetMode="External"/><Relationship Id="rId31" Type="http://schemas.openxmlformats.org/officeDocument/2006/relationships/hyperlink" Target="https://www.sec.gov/Archives/edgar/data/1045810/000104581026000051/0001045810-26-000051-index.htm" TargetMode="External"/><Relationship Id="rId32" Type="http://schemas.openxmlformats.org/officeDocument/2006/relationships/hyperlink" Target="https://www.sec.gov/Archives/edgar/data/866374/000086637426000009/0000866374-26-000009-index.htm" TargetMode="External"/><Relationship Id="rId33" Type="http://schemas.openxmlformats.org/officeDocument/2006/relationships/hyperlink" Target="https://www.sec.gov/Archives/edgar/data/1069878/000119312526221659/0001193125-26-221659-index.htm" TargetMode="External"/><Relationship Id="rId34" Type="http://schemas.openxmlformats.org/officeDocument/2006/relationships/hyperlink" Target="https://www.sec.gov/Archives/edgar/data/1116942/000119312526191490/0001193125-26-191490-index.htm" TargetMode="External"/><Relationship Id="rId35" Type="http://schemas.openxmlformats.org/officeDocument/2006/relationships/hyperlink" Target="https://www.sec.gov/Archives/edgar/data/704532/000119312526206365/0001193125-26-206365-index.htm" TargetMode="External"/><Relationship Id="rId36" Type="http://schemas.openxmlformats.org/officeDocument/2006/relationships/hyperlink" Target="https://www.sec.gov/Archives/edgar/data/1571996/000157199626000021/0001571996-26-000021-index.htm" TargetMode="External"/><Relationship Id="rId37" Type="http://schemas.openxmlformats.org/officeDocument/2006/relationships/hyperlink" Target="https://www.sec.gov/Archives/edgar/data/889331/000162828026030892/0001628280-26-030892-index.htm" TargetMode="External"/><Relationship Id="rId38" Type="http://schemas.openxmlformats.org/officeDocument/2006/relationships/hyperlink" Target="https://www.sec.gov/Archives/edgar/data/1441816/000162828026038798/0001628280-26-038798-index.htm" TargetMode="External"/><Relationship Id="rId39" Type="http://schemas.openxmlformats.org/officeDocument/2006/relationships/hyperlink" Target="https://www.sec.gov/Archives/edgar/data/72331/000007233126000022/0000072331-26-000022-index.htm" TargetMode="External"/><Relationship Id="rId40" Type="http://schemas.openxmlformats.org/officeDocument/2006/relationships/hyperlink" Target="https://www.sec.gov/Archives/edgar/data/1047127/000104712726000017/0001047127-26-000017-index.htm" TargetMode="External"/><Relationship Id="rId41" Type="http://schemas.openxmlformats.org/officeDocument/2006/relationships/hyperlink" Target="https://www.sec.gov/Archives/edgar/data/1897762/000189776226000005/0001897762-26-000005-index.htm" TargetMode="External"/><Relationship Id="rId42" Type="http://schemas.openxmlformats.org/officeDocument/2006/relationships/hyperlink" Target="https://www.sec.gov/Archives/edgar/data/1642896/000162828026040788/0001628280-26-040788-index.htm" TargetMode="External"/><Relationship Id="rId43" Type="http://schemas.openxmlformats.org/officeDocument/2006/relationships/hyperlink" Target="https://www.sec.gov/Archives/edgar/data/1447669/000144766926000046/0001447669-26-000046-index.htm" TargetMode="External"/><Relationship Id="rId44" Type="http://schemas.openxmlformats.org/officeDocument/2006/relationships/hyperlink" Target="https://www.sec.gov/Archives/edgar/data/769520/000076952026000026/0000769520-26-000026-index.htm" TargetMode="External"/><Relationship Id="rId45" Type="http://schemas.openxmlformats.org/officeDocument/2006/relationships/hyperlink" Target="https://www.sec.gov/Archives/edgar/data/97476/000009747626000097/0000097476-26-000097-index.htm" TargetMode="External"/><Relationship Id="rId46"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sec.gov/Archives/edgar/data/723125/000072312526000004/0000723125-26-000004-index.htm" TargetMode="External"/><Relationship Id="rId2" Type="http://schemas.openxmlformats.org/officeDocument/2006/relationships/hyperlink" Target="https://www.sec.gov/Archives/edgar/data/1177394/000162828026022204/0001628280-26-022204-index.htm" TargetMode="External"/><Relationship Id="rId3" Type="http://schemas.openxmlformats.org/officeDocument/2006/relationships/hyperlink" Target="https://www.sec.gov/Archives/edgar/data/1069258/000106925826000051/0001069258-26-000051-index.htm" TargetMode="External"/><Relationship Id="rId4" Type="http://schemas.openxmlformats.org/officeDocument/2006/relationships/hyperlink" Target="https://www.sec.gov/Archives/edgar/data/50863/000005086326000077/0000050863-26-000077-index.htm" TargetMode="External"/><Relationship Id="rId5" Type="http://schemas.openxmlformats.org/officeDocument/2006/relationships/hyperlink" Target="https://www.sec.gov/Archives/edgar/data/2023554/000162828026028879/0001628280-26-028879-index.htm" TargetMode="External"/><Relationship Id="rId6" Type="http://schemas.openxmlformats.org/officeDocument/2006/relationships/hyperlink" Target="https://www.sec.gov/Archives/edgar/data/2080126/000208012626000017/0002080126-26-000017-index.htm" TargetMode="External"/><Relationship Id="rId7" Type="http://schemas.openxmlformats.org/officeDocument/2006/relationships/hyperlink" Target="https://www.sec.gov/Archives/edgar/data/1713445/000171344526000067/0001713445-26-000067-index.htm" TargetMode="External"/><Relationship Id="rId8" Type="http://schemas.openxmlformats.org/officeDocument/2006/relationships/hyperlink" Target="https://www.sec.gov/Archives/edgar/data/8858/000000885826000040/0000008858-26-000040-index.htm" TargetMode="External"/><Relationship Id="rId9" Type="http://schemas.openxmlformats.org/officeDocument/2006/relationships/hyperlink" Target="https://www.sec.gov/Archives/edgar/data/1836833/000119312526257401/0001193125-26-257401-index.htm" TargetMode="External"/><Relationship Id="rId10" Type="http://schemas.openxmlformats.org/officeDocument/2006/relationships/hyperlink" Target="https://www.sec.gov/Archives/edgar/data/1002047/000119312526245196/0001193125-26-245196-index.htm" TargetMode="External"/><Relationship Id="rId11" Type="http://schemas.openxmlformats.org/officeDocument/2006/relationships/hyperlink" Target="https://www.sec.gov/Archives/edgar/data/97210/000119312526188706/0001193125-26-188706-index.htm" TargetMode="External"/><Relationship Id="rId12" Type="http://schemas.openxmlformats.org/officeDocument/2006/relationships/hyperlink" Target="https://www.sec.gov/Archives/edgar/data/1159152/000162828026036497/0001628280-26-036497-index.htm" TargetMode="External"/><Relationship Id="rId13" Type="http://schemas.openxmlformats.org/officeDocument/2006/relationships/hyperlink" Target="https://www.sec.gov/Archives/edgar/data/1280452/000143774926014182/0001437749-26-014182-index.htm" TargetMode="External"/><Relationship Id="rId14" Type="http://schemas.openxmlformats.org/officeDocument/2006/relationships/hyperlink" Target="https://www.sec.gov/Archives/edgar/data/1262039/000126203926000010/0001262039-26-000010-index.htm" TargetMode="External"/><Relationship Id="rId15" Type="http://schemas.openxmlformats.org/officeDocument/2006/relationships/hyperlink" Target="https://www.sec.gov/Archives/edgar/data/855658/000143774926014654/0001437749-26-014654-index.htm" TargetMode="External"/><Relationship Id="rId16" Type="http://schemas.openxmlformats.org/officeDocument/2006/relationships/hyperlink" Target="https://www.sec.gov/Archives/edgar/data/1596532/000159653226000074/0001596532-26-000074-index.htm" TargetMode="External"/><Relationship Id="rId17" Type="http://schemas.openxmlformats.org/officeDocument/2006/relationships/hyperlink" Target="https://www.sec.gov/Archives/edgar/data/1943896/000194389626000041/0001943896-26-000041-index.htm" TargetMode="External"/><Relationship Id="rId18" Type="http://schemas.openxmlformats.org/officeDocument/2006/relationships/hyperlink" Target="https://www.sec.gov/Archives/edgar/data/1474432/000147443226000046/0001474432-26-000046-index.htm" TargetMode="External"/><Relationship Id="rId19" Type="http://schemas.openxmlformats.org/officeDocument/2006/relationships/hyperlink" Target="https://www.sec.gov/Archives/edgar/data/1039399/000103939926000020/0001039399-26-000020-index.htm" TargetMode="External"/><Relationship Id="rId20" Type="http://schemas.openxmlformats.org/officeDocument/2006/relationships/hyperlink" Target="https://www.sec.gov/Archives/edgar/data/1321655/000132165526000026/0001321655-26-000026-index.htm" TargetMode="External"/><Relationship Id="rId21" Type="http://schemas.openxmlformats.org/officeDocument/2006/relationships/hyperlink" Target="https://www.sec.gov/Archives/edgar/data/820313/000110465926050984/0001104659-26-050984-index.htm" TargetMode="External"/><Relationship Id="rId22" Type="http://schemas.openxmlformats.org/officeDocument/2006/relationships/hyperlink" Target="https://www.sec.gov/Archives/edgar/data/1810806/000181080626000030/0001810806-26-000030-index.htm" TargetMode="External"/><Relationship Id="rId23" Type="http://schemas.openxmlformats.org/officeDocument/2006/relationships/hyperlink" Target="https://www.sec.gov/Archives/edgar/data/1650372/000165037226000024/0001650372-26-000024-index.htm" TargetMode="External"/><Relationship Id="rId24" Type="http://schemas.openxmlformats.org/officeDocument/2006/relationships/hyperlink" Target="https://www.sec.gov/Archives/edgar/data/1101302/000110130226000099/0001101302-26-000099-index.htm" TargetMode="External"/><Relationship Id="rId25" Type="http://schemas.openxmlformats.org/officeDocument/2006/relationships/hyperlink" Target="https://www.sec.gov/Archives/edgar/data/927003/000092700326000012/0000927003-26-000012-index.htm" TargetMode="External"/><Relationship Id="rId26" Type="http://schemas.openxmlformats.org/officeDocument/2006/relationships/hyperlink" Target="https://www.sec.gov/Archives/edgar/data/2064953/000206495326000045/0002064953-26-000045-index.htm" TargetMode="External"/><Relationship Id="rId27" Type="http://schemas.openxmlformats.org/officeDocument/2006/relationships/hyperlink" Target="https://www.sec.gov/Archives/edgar/data/1601046/000160104626000019/0001601046-26-000019-index.htm" TargetMode="External"/><Relationship Id="rId28" Type="http://schemas.openxmlformats.org/officeDocument/2006/relationships/hyperlink" Target="https://www.sec.gov/Archives/edgar/data/1579878/000162828026035087/0001628280-26-035087-index.htm" TargetMode="External"/><Relationship Id="rId29" Type="http://schemas.openxmlformats.org/officeDocument/2006/relationships/hyperlink" Target="https://www.sec.gov/Archives/edgar/data/1177609/000117760926000015/0001177609-26-000015-index.htm" TargetMode="External"/><Relationship Id="rId30" Type="http://schemas.openxmlformats.org/officeDocument/2006/relationships/hyperlink" Target="https://www.sec.gov/Archives/edgar/data/7536/000000753626000077/0000007536-26-000077-index.htm" TargetMode="External"/><Relationship Id="rId31" Type="http://schemas.openxmlformats.org/officeDocument/2006/relationships/hyperlink" Target="https://www.sec.gov/Archives/edgar/data/1045810/000104581026000051/0001045810-26-000051-index.htm" TargetMode="External"/><Relationship Id="rId32" Type="http://schemas.openxmlformats.org/officeDocument/2006/relationships/hyperlink" Target="https://www.sec.gov/Archives/edgar/data/866374/000086637426000009/0000866374-26-000009-index.htm" TargetMode="External"/><Relationship Id="rId33" Type="http://schemas.openxmlformats.org/officeDocument/2006/relationships/hyperlink" Target="https://www.sec.gov/Archives/edgar/data/1069878/000119312526221659/0001193125-26-221659-index.htm" TargetMode="External"/><Relationship Id="rId34" Type="http://schemas.openxmlformats.org/officeDocument/2006/relationships/hyperlink" Target="https://www.sec.gov/Archives/edgar/data/1116942/000119312526191490/0001193125-26-191490-index.htm" TargetMode="External"/><Relationship Id="rId35" Type="http://schemas.openxmlformats.org/officeDocument/2006/relationships/hyperlink" Target="https://www.sec.gov/Archives/edgar/data/704532/000119312526206365/0001193125-26-206365-index.htm" TargetMode="External"/><Relationship Id="rId36" Type="http://schemas.openxmlformats.org/officeDocument/2006/relationships/hyperlink" Target="https://www.sec.gov/Archives/edgar/data/1571996/000157199626000021/0001571996-26-000021-index.htm" TargetMode="External"/><Relationship Id="rId37" Type="http://schemas.openxmlformats.org/officeDocument/2006/relationships/hyperlink" Target="https://www.sec.gov/Archives/edgar/data/889331/000162828026030892/0001628280-26-030892-index.htm" TargetMode="External"/><Relationship Id="rId38" Type="http://schemas.openxmlformats.org/officeDocument/2006/relationships/hyperlink" Target="https://www.sec.gov/Archives/edgar/data/1441816/000162828026038798/0001628280-26-038798-index.htm" TargetMode="External"/><Relationship Id="rId39" Type="http://schemas.openxmlformats.org/officeDocument/2006/relationships/hyperlink" Target="https://www.sec.gov/Archives/edgar/data/72331/000007233126000022/0000072331-26-000022-index.htm" TargetMode="External"/><Relationship Id="rId40" Type="http://schemas.openxmlformats.org/officeDocument/2006/relationships/hyperlink" Target="https://www.sec.gov/Archives/edgar/data/1047127/000104712726000017/0001047127-26-000017-index.htm" TargetMode="External"/><Relationship Id="rId41" Type="http://schemas.openxmlformats.org/officeDocument/2006/relationships/hyperlink" Target="https://www.sec.gov/Archives/edgar/data/1897762/000189776226000005/0001897762-26-000005-index.htm" TargetMode="External"/><Relationship Id="rId42" Type="http://schemas.openxmlformats.org/officeDocument/2006/relationships/hyperlink" Target="https://www.sec.gov/Archives/edgar/data/1642896/000162828026040788/0001628280-26-040788-index.htm" TargetMode="External"/><Relationship Id="rId43" Type="http://schemas.openxmlformats.org/officeDocument/2006/relationships/hyperlink" Target="https://www.sec.gov/Archives/edgar/data/1447669/000144766926000046/0001447669-26-000046-index.htm" TargetMode="External"/><Relationship Id="rId44" Type="http://schemas.openxmlformats.org/officeDocument/2006/relationships/hyperlink" Target="https://www.sec.gov/Archives/edgar/data/769520/000076952026000026/0000769520-26-000026-index.htm" TargetMode="External"/><Relationship Id="rId45" Type="http://schemas.openxmlformats.org/officeDocument/2006/relationships/hyperlink" Target="https://www.sec.gov/Archives/edgar/data/97476/000009747626000097/0000097476-26-000097-index.htm" TargetMode="External"/><Relationship Id="rId46" Type="http://schemas.openxmlformats.org/officeDocument/2006/relationships/hyperlink" Target="https://www.sec.gov/Archives/edgar/data/1795586/000179558626000035/0001795586-26-000035-index.htm" TargetMode="External"/><Relationship Id="rId47" Type="http://schemas.openxmlformats.org/officeDocument/2006/relationships/hyperlink" Target="https://www.sec.gov/Archives/edgar/data/1653482/000162828026039805/0001628280-26-039805-index.htm" TargetMode="External"/><Relationship Id="rId48" Type="http://schemas.openxmlformats.org/officeDocument/2006/relationships/hyperlink" Target="https://www.sec.gov/Archives/edgar/data/1477333/000147733326000035/0001477333-26-000035-index.htm" TargetMode="External"/><Relationship Id="rId49" Type="http://schemas.openxmlformats.org/officeDocument/2006/relationships/hyperlink" Target="https://www.sec.gov/Archives/edgar/data/1065088/000106508826000092/0001065088-26-000092-index.htm" TargetMode="External"/><Relationship Id="rId50" Type="http://schemas.openxmlformats.org/officeDocument/2006/relationships/hyperlink" Target="https://www.sec.gov/Archives/edgar/data/1357615/000135761526000138/0001357615-26-000138-index.htm" TargetMode="External"/><Relationship Id="rId51" Type="http://schemas.openxmlformats.org/officeDocument/2006/relationships/hyperlink" Target="https://www.sec.gov/Archives/edgar/data/1561550/000162828026031677/0001628280-26-031677-index.htm" TargetMode="External"/><Relationship Id="rId52" Type="http://schemas.openxmlformats.org/officeDocument/2006/relationships/hyperlink" Target="https://www.sec.gov/Archives/edgar/data/88941/000008894126000009/0000088941-26-000009-index.htm" TargetMode="External"/><Relationship Id="rId53" Type="http://schemas.openxmlformats.org/officeDocument/2006/relationships/hyperlink" Target="https://www.sec.gov/Archives/edgar/data/1739104/000173910426000027/0001739104-26-000027-index.htm" TargetMode="External"/><Relationship Id="rId54" Type="http://schemas.openxmlformats.org/officeDocument/2006/relationships/hyperlink" Target="https://www.sec.gov/Archives/edgar/data/1048695/000104869526000042/0001048695-26-000042-index.htm" TargetMode="External"/><Relationship Id="rId55" Type="http://schemas.openxmlformats.org/officeDocument/2006/relationships/hyperlink" Target="https://www.sec.gov/Archives/edgar/data/1428439/000162828026028851/0001628280-26-028851-index.htm" TargetMode="External"/><Relationship Id="rId56" Type="http://schemas.openxmlformats.org/officeDocument/2006/relationships/hyperlink" Target="https://www.sec.gov/Archives/edgar/data/1021860/000119312526156143/0001193125-26-156143-index.htm" TargetMode="External"/><Relationship Id="rId57" Type="http://schemas.openxmlformats.org/officeDocument/2006/relationships/hyperlink" Target="https://www.sec.gov/Archives/edgar/data/1049502/000119312526209140/0001193125-26-209140-index.htm" TargetMode="External"/><Relationship Id="rId58" Type="http://schemas.openxmlformats.org/officeDocument/2006/relationships/hyperlink" Target="https://www.sec.gov/Archives/edgar/data/1370946/000137094626000143/0001370946-26-000143-index.htm" TargetMode="External"/><Relationship Id="rId59" Type="http://schemas.openxmlformats.org/officeDocument/2006/relationships/hyperlink" Target="https://www.sec.gov/Archives/edgar/data/105770/000010577026000047/0000105770-26-000047-index.htm" TargetMode="External"/><Relationship Id="rId60" Type="http://schemas.openxmlformats.org/officeDocument/2006/relationships/hyperlink" Target="https://www.sec.gov/Archives/edgar/data/866291/000119312526210309/0001193125-26-210309-index.htm" TargetMode="External"/><Relationship Id="rId61" Type="http://schemas.openxmlformats.org/officeDocument/2006/relationships/hyperlink" Target="https://www.sec.gov/Archives/edgar/data/804328/000080432826000060/0000804328-26-000060-index.htm" TargetMode="External"/><Relationship Id="rId62" Type="http://schemas.openxmlformats.org/officeDocument/2006/relationships/hyperlink" Target="https://www.sec.gov/Archives/edgar/data/2041385/000204138526000043/0002041385-26-000043-index.htm" TargetMode="External"/><Relationship Id="rId63" Type="http://schemas.openxmlformats.org/officeDocument/2006/relationships/hyperlink" Target="https://www.sec.gov/Archives/edgar/data/1408710/000140871026000014/0001408710-26-000014-index.htm" TargetMode="External"/><Relationship Id="rId64" Type="http://schemas.openxmlformats.org/officeDocument/2006/relationships/hyperlink" Target="https://www.sec.gov/Archives/edgar/data/1645590/000164559026000052/0001645590-26-000052-index.htm" TargetMode="External"/><Relationship Id="rId65" Type="http://schemas.openxmlformats.org/officeDocument/2006/relationships/hyperlink" Target="https://www.sec.gov/Archives/edgar/data/897723/000089772326000024/0000897723-26-000024-index.htm" TargetMode="External"/><Relationship Id="rId66" Type="http://schemas.openxmlformats.org/officeDocument/2006/relationships/hyperlink" Target="https://www.sec.gov/Archives/edgar/data/1175454/000117545426000029/0001175454-26-000029-index.htm" TargetMode="External"/><Relationship Id="rId67" Type="http://schemas.openxmlformats.org/officeDocument/2006/relationships/hyperlink" Target="https://www.sec.gov/Archives/edgar/data/1516513/000151651326000017/0001516513-26-000017-index.htm" TargetMode="External"/><Relationship Id="rId68" Type="http://schemas.openxmlformats.org/officeDocument/2006/relationships/hyperlink" Target="https://www.sec.gov/Archives/edgar/data/820318/000119312526208972/0001193125-26-208972-index.htm" TargetMode="External"/><Relationship Id="rId69" Type="http://schemas.openxmlformats.org/officeDocument/2006/relationships/hyperlink" Target="https://www.sec.gov/Archives/edgar/data/1591698/000159169826000036/0001591698-26-000036-index.htm" TargetMode="External"/><Relationship Id="rId70" Type="http://schemas.openxmlformats.org/officeDocument/2006/relationships/hyperlink" Target="https://www.sec.gov/Archives/edgar/data/1734722/000173472226000037/0001734722-26-000037-index.htm" TargetMode="External"/><Relationship Id="rId71" Type="http://schemas.openxmlformats.org/officeDocument/2006/relationships/hyperlink" Target="https://www.sec.gov/Archives/edgar/data/1506293/000150629326000066/0001506293-26-000066-index.htm" TargetMode="External"/><Relationship Id="rId72" Type="http://schemas.openxmlformats.org/officeDocument/2006/relationships/hyperlink" Target="https://www.sec.gov/Archives/edgar/data/6281/000000628126000050/0000006281-26-000050-index.htm" TargetMode="External"/><Relationship Id="rId73" Type="http://schemas.openxmlformats.org/officeDocument/2006/relationships/hyperlink" Target="https://www.sec.gov/Archives/edgar/data/1618732/000117184326003724/0001171843-26-003724-index.htm" TargetMode="External"/><Relationship Id="rId74" Type="http://schemas.openxmlformats.org/officeDocument/2006/relationships/hyperlink" Target="https://www.sec.gov/Archives/edgar/data/2488/000000248826000072/0000002488-26-000072-index.htm" TargetMode="External"/><Relationship Id="rId75" Type="http://schemas.openxmlformats.org/officeDocument/2006/relationships/hyperlink" Target="https://www.sec.gov/Archives/edgar/data/1582961/000158296126000045/0001582961-26-000045-index.htm" TargetMode="External"/><Relationship Id="rId76" Type="http://schemas.openxmlformats.org/officeDocument/2006/relationships/hyperlink" Target="https://www.sec.gov/Archives/edgar/data/898293/000162828026019043/0001628280-26-019043-index.htm" TargetMode="External"/><Relationship Id="rId77" Type="http://schemas.openxmlformats.org/officeDocument/2006/relationships/hyperlink" Target="https://www.sec.gov/Archives/edgar/data/1786842/000162828026031651/0001628280-26-031651-index.htm" TargetMode="External"/><Relationship Id="rId78" Type="http://schemas.openxmlformats.org/officeDocument/2006/relationships/hyperlink" Target="https://www.sec.gov/Archives/edgar/data/1324948/000121390026057223/0001213900-26-057223-index.htm" TargetMode="External"/><Relationship Id="rId79" Type="http://schemas.openxmlformats.org/officeDocument/2006/relationships/hyperlink" Target="https://www.sec.gov/Archives/edgar/data/936395/000162828026040614/0001628280-26-040614-index.htm" TargetMode="External"/><Relationship Id="rId80" Type="http://schemas.openxmlformats.org/officeDocument/2006/relationships/hyperlink" Target="https://www.sec.gov/Archives/edgar/data/1611052/000162828026030125/0001628280-26-030125-index.htm" TargetMode="External"/><Relationship Id="rId81" Type="http://schemas.openxmlformats.org/officeDocument/2006/relationships/hyperlink" Target="https://www.sec.gov/Archives/edgar/data/1393052/000139305226000022/0001393052-26-000022-index.htm" TargetMode="External"/><Relationship Id="rId82" Type="http://schemas.openxmlformats.org/officeDocument/2006/relationships/hyperlink" Target="https://www.sec.gov/Archives/edgar/data/858877/000085887726000075/0000858877-26-000075-index.htm" TargetMode="External"/><Relationship Id="rId83" Type="http://schemas.openxmlformats.org/officeDocument/2006/relationships/hyperlink" Target="https://www.sec.gov/Archives/edgar/data/106040/000162828026028878/0001628280-26-028878-index.htm" TargetMode="External"/><Relationship Id="rId84" Type="http://schemas.openxmlformats.org/officeDocument/2006/relationships/hyperlink" Target="https://www.sec.gov/Archives/edgar/data/1477294/000147729426000016/0001477294-26-000016-index.htm" TargetMode="External"/><Relationship Id="rId85" Type="http://schemas.openxmlformats.org/officeDocument/2006/relationships/hyperlink" Target="https://www.sec.gov/Archives/edgar/data/912093/000162828026028392/0001628280-26-028392-index.htm" TargetMode="External"/><Relationship Id="rId86" Type="http://schemas.openxmlformats.org/officeDocument/2006/relationships/hyperlink" Target="https://www.sec.gov/Archives/edgar/data/1713683/000171368326000095/0001713683-26-000095-index.htm" TargetMode="External"/><Relationship Id="rId87" Type="http://schemas.openxmlformats.org/officeDocument/2006/relationships/hyperlink" Target="https://www.sec.gov/Archives/edgar/data/1796209/000179620926000003/0001796209-26-000003-index.htm" TargetMode="External"/><Relationship Id="rId88" Type="http://schemas.openxmlformats.org/officeDocument/2006/relationships/hyperlink" Target="https://www.sec.gov/Archives/edgar/data/1099800/000109980026000021/0001099800-26-000021-index.htm" TargetMode="External"/><Relationship Id="rId89" Type="http://schemas.openxmlformats.org/officeDocument/2006/relationships/hyperlink" Target="https://www.sec.gov/Archives/edgar/data/319201/000031920126000014/0000319201-26-000014-index.htm" TargetMode="External"/><Relationship Id="rId90" Type="http://schemas.openxmlformats.org/officeDocument/2006/relationships/hyperlink" Target="https://www.sec.gov/Archives/edgar/data/864749/000086474926000061/0000864749-26-000061-index.htm" TargetMode="External"/><Relationship Id="rId91" Type="http://schemas.openxmlformats.org/officeDocument/2006/relationships/hyperlink" Target="https://www.sec.gov/Archives/edgar/data/1309108/000130910826000014/0001309108-26-000014-index.htm" TargetMode="External"/><Relationship Id="rId92" Type="http://schemas.openxmlformats.org/officeDocument/2006/relationships/hyperlink" Target="https://www.sec.gov/Archives/edgar/data/1535527/000153552726000022/0001535527-26-000022-index.htm" TargetMode="External"/><Relationship Id="rId93" Type="http://schemas.openxmlformats.org/officeDocument/2006/relationships/hyperlink" Target="https://www.sec.gov/Archives/edgar/data/1326801/000162828026028364/0001628280-26-028364-index.htm" TargetMode="External"/><Relationship Id="rId94" Type="http://schemas.openxmlformats.org/officeDocument/2006/relationships/hyperlink" Target="https://www.sec.gov/Archives/edgar/data/1633978/000162828026030530/0001628280-26-030530-index.htm" TargetMode="External"/><Relationship Id="rId95" Type="http://schemas.openxmlformats.org/officeDocument/2006/relationships/hyperlink" Target="https://www.sec.gov/Archives/edgar/data/1493594/000149359426000024/0001493594-26-000024-index.htm" TargetMode="External"/><Relationship Id="rId96" Type="http://schemas.openxmlformats.org/officeDocument/2006/relationships/hyperlink" Target="https://www.sec.gov/Archives/edgar/data/827054/000082705426000012/0000827054-26-000012-index.htm" TargetMode="External"/><Relationship Id="rId97" Type="http://schemas.openxmlformats.org/officeDocument/2006/relationships/hyperlink" Target="https://www.sec.gov/Archives/edgar/data/1807794/000162828026039474/0001628280-26-039474-index.htm" TargetMode="External"/><Relationship Id="rId98" Type="http://schemas.openxmlformats.org/officeDocument/2006/relationships/hyperlink" Target="https://www.sec.gov/Archives/edgar/data/1617640/000161764026000038/0001617640-26-000038-index.htm" TargetMode="External"/><Relationship Id="rId99" Type="http://schemas.openxmlformats.org/officeDocument/2006/relationships/hyperlink" Target="https://www.sec.gov/Archives/edgar/data/707549/000070754926000020/0000707549-26-000020-index.htm" TargetMode="External"/><Relationship Id="rId100" Type="http://schemas.openxmlformats.org/officeDocument/2006/relationships/hyperlink" Target="https://www.sec.gov/Archives/edgar/data/6951/000162828026035071/0001628280-26-035071-index.htm" TargetMode="External"/><Relationship Id="rId101" Type="http://schemas.openxmlformats.org/officeDocument/2006/relationships/hyperlink" Target="https://www.sec.gov/Archives/edgar/data/1707753/000170775326000008/0001707753-26-000008-index.htm" TargetMode="External"/><Relationship Id="rId102" Type="http://schemas.openxmlformats.org/officeDocument/2006/relationships/hyperlink" Target="https://www.sec.gov/Archives/edgar/data/1327567/000132756726000012/0001327567-26-000012-index.htm" TargetMode="External"/><Relationship Id="rId103" Type="http://schemas.openxmlformats.org/officeDocument/2006/relationships/hyperlink" Target="https://www.sec.gov/Archives/edgar/data/769397/000076939726000041/0000769397-26-000041-index.htm" TargetMode="External"/><Relationship Id="rId104" Type="http://schemas.openxmlformats.org/officeDocument/2006/relationships/hyperlink" Target="https://www.sec.gov/Archives/edgar/data/849399/000084939926000014/0000849399-26-000014-index.htm" TargetMode="External"/><Relationship Id="rId105" Type="http://schemas.openxmlformats.org/officeDocument/2006/relationships/hyperlink" Target="https://www.sec.gov/Archives/edgar/data/1660134/000166013426000050/0001660134-26-000050-index.htm" TargetMode="External"/><Relationship Id="rId106" Type="http://schemas.openxmlformats.org/officeDocument/2006/relationships/hyperlink" Target="https://www.sec.gov/Archives/edgar/data/1158114/000168316826003562/0001683168-26-003562-index.htm" TargetMode="External"/><Relationship Id="rId107" Type="http://schemas.openxmlformats.org/officeDocument/2006/relationships/hyperlink" Target="https://www.sec.gov/Archives/edgar/data/1835632/000183563226000014/0001835632-26-000014-index.htm" TargetMode="External"/><Relationship Id="rId108" Type="http://schemas.openxmlformats.org/officeDocument/2006/relationships/hyperlink" Target="https://www.sec.gov/Archives/edgar/data/1786352/000162828026032064/0001628280-26-032064-index.htm" TargetMode="External"/><Relationship Id="rId109" Type="http://schemas.openxmlformats.org/officeDocument/2006/relationships/hyperlink" Target="https://www.sec.gov/Archives/edgar/data/1101239/000110123926000089/0001101239-26-000089-index.htm" TargetMode="External"/><Relationship Id="rId110" Type="http://schemas.openxmlformats.org/officeDocument/2006/relationships/hyperlink" Target="https://www.sec.gov/Archives/edgar/data/1111928/000111192826000094/0001111928-26-000094-index.htm" TargetMode="External"/><Relationship Id="rId111" Type="http://schemas.openxmlformats.org/officeDocument/2006/relationships/hyperlink" Target="https://www.sec.gov/Archives/edgar/data/1097864/000114036126018868/0001140361-26-018868-index.htm" TargetMode="External"/><Relationship Id="rId112" Type="http://schemas.openxmlformats.org/officeDocument/2006/relationships/hyperlink" Target="https://www.sec.gov/Archives/edgar/data/26324/000162828026031693/0001628280-26-031693-index.htm" TargetMode="External"/><Relationship Id="rId113" Type="http://schemas.openxmlformats.org/officeDocument/2006/relationships/hyperlink" Target="https://www.sec.gov/Archives/edgar/data/1559720/000119312526211816/0001193125-26-211816-index.htm" TargetMode="External"/><Relationship Id="rId114" Type="http://schemas.openxmlformats.org/officeDocument/2006/relationships/hyperlink" Target="https://www.sec.gov/Archives/edgar/data/4127/000000412726000014/0000004127-26-000014-index.htm" TargetMode="External"/><Relationship Id="rId115" Type="http://schemas.openxmlformats.org/officeDocument/2006/relationships/hyperlink" Target="https://www.sec.gov/Archives/edgar/data/1666700/000166670026000029/0001666700-26-000029-index.htm" TargetMode="External"/><Relationship Id="rId116" Type="http://schemas.openxmlformats.org/officeDocument/2006/relationships/hyperlink" Target="https://www.sec.gov/Archives/edgar/data/1773383/000177338326000011/0001773383-26-000011-index.htm" TargetMode="External"/><Relationship Id="rId117" Type="http://schemas.openxmlformats.org/officeDocument/2006/relationships/hyperlink" Target="https://www.sec.gov/Archives/edgar/data/1261333/000126133326000072/0001261333-26-000072-index.htm" TargetMode="External"/><Relationship Id="rId118" Type="http://schemas.openxmlformats.org/officeDocument/2006/relationships/hyperlink" Target="https://www.sec.gov/Archives/edgar/data/1384905/000138490526000033/0001384905-26-000033-index.htm" TargetMode="External"/><Relationship Id="rId119" Type="http://schemas.openxmlformats.org/officeDocument/2006/relationships/hyperlink" Target="https://www.sec.gov/Archives/edgar/data/796343/000079634326000109/0000796343-26-000109-index.htm" TargetMode="External"/><Relationship Id="rId120" Type="http://schemas.openxmlformats.org/officeDocument/2006/relationships/hyperlink" Target="https://www.sec.gov/Archives/edgar/data/935703/000093570326000064/0000935703-26-000064-index.htm" TargetMode="External"/><Relationship Id="rId121" Type="http://schemas.openxmlformats.org/officeDocument/2006/relationships/hyperlink" Target="https://www.sec.gov/Archives/edgar/data/1585521/000158552126000069/0001585521-26-000069-index.htm" TargetMode="External"/><Relationship Id="rId122" Type="http://schemas.openxmlformats.org/officeDocument/2006/relationships/hyperlink" Target="https://www.sec.gov/Archives/edgar/data/1583708/000158370826000039/0001583708-26-000039-index.htm" TargetMode="External"/><Relationship Id="rId123" Type="http://schemas.openxmlformats.org/officeDocument/2006/relationships/hyperlink" Target="https://www.sec.gov/Archives/edgar/data/1819994/000181999426000027/0001819994-26-000027-index.htm" TargetMode="External"/><Relationship Id="rId124" Type="http://schemas.openxmlformats.org/officeDocument/2006/relationships/hyperlink" Target="https://www.sec.gov/Archives/edgar/data/1730168/000173016826000051/0001730168-26-000051-index.htm" TargetMode="External"/><Relationship Id="rId125" Type="http://schemas.openxmlformats.org/officeDocument/2006/relationships/hyperlink" Target="https://www.sec.gov/Archives/edgar/data/1786431/000162828026030890/0001628280-26-030890-index.htm" TargetMode="External"/><Relationship Id="rId126" Type="http://schemas.openxmlformats.org/officeDocument/2006/relationships/hyperlink" Target="https://www.sec.gov/Archives/edgar/data/813672/000081367226000044/0000813672-26-000044-index.htm" TargetMode="External"/><Relationship Id="rId127" Type="http://schemas.openxmlformats.org/officeDocument/2006/relationships/hyperlink" Target="https://www.sec.gov/Archives/edgar/data/1097149/000109714926000033/0001097149-26-000033-index.htm" TargetMode="External"/><Relationship Id="rId128" Type="http://schemas.openxmlformats.org/officeDocument/2006/relationships/hyperlink" Target="https://www.sec.gov/Archives/edgar/data/1352010/000135201026000026/0001352010-26-000026-index.htm" TargetMode="External"/><Relationship Id="rId129" Type="http://schemas.openxmlformats.org/officeDocument/2006/relationships/hyperlink" Target="https://www.sec.gov/Archives/edgar/data/1658566/000165856626000069/0001658566-26-000069-index.htm" TargetMode="External"/><Relationship Id="rId130" Type="http://schemas.openxmlformats.org/officeDocument/2006/relationships/hyperlink" Target="https://www.sec.gov/Archives/edgar/data/1108524/000110852426000125/0001108524-26-000125-index.htm" TargetMode="External"/><Relationship Id="rId131" Type="http://schemas.openxmlformats.org/officeDocument/2006/relationships/hyperlink" Target="https://www.sec.gov/Archives/edgar/data/1609711/000160971126000035/0001609711-26-000035-index.htm" TargetMode="External"/><Relationship Id="rId132" Type="http://schemas.openxmlformats.org/officeDocument/2006/relationships/hyperlink" Target="https://www.sec.gov/Archives/edgar/data/1467373/000146737326000013/0001467373-26-000013-index.htm" TargetMode="External"/><Relationship Id="rId133" Type="http://schemas.openxmlformats.org/officeDocument/2006/relationships/hyperlink" Target="https://www.sec.gov/Archives/edgar/data/772406/000077240626000012/0000772406-26-000012-index.htm" TargetMode="External"/><Relationship Id="rId134" Type="http://schemas.openxmlformats.org/officeDocument/2006/relationships/hyperlink" Target="https://www.sec.gov/Archives/edgar/data/1058290/000105829026000015/0001058290-26-000015-index.htm" TargetMode="External"/><Relationship Id="rId135" Type="http://schemas.openxmlformats.org/officeDocument/2006/relationships/hyperlink" Target="https://www.sec.gov/Archives/edgar/data/1057352/000105735226000030/0001057352-26-000030-index.htm" TargetMode="External"/><Relationship Id="rId136" Type="http://schemas.openxmlformats.org/officeDocument/2006/relationships/hyperlink" Target="https://www.sec.gov/Archives/edgar/data/891103/000089110326000072/0000891103-26-000072-index.htm" TargetMode="External"/><Relationship Id="rId137" Type="http://schemas.openxmlformats.org/officeDocument/2006/relationships/hyperlink" Target="https://www.sec.gov/Archives/edgar/data/1136893/000113689326000038/0001136893-26-000038-index.htm" TargetMode="External"/><Relationship Id="rId138" Type="http://schemas.openxmlformats.org/officeDocument/2006/relationships/hyperlink" Target="https://www.sec.gov/Archives/edgar/data/1751008/000175100826000042/0001751008-26-000042-index.htm" TargetMode="External"/><Relationship Id="rId139" Type="http://schemas.openxmlformats.org/officeDocument/2006/relationships/hyperlink" Target="https://www.sec.gov/Archives/edgar/data/2030781/000203078126000008/0002030781-26-000008-index.htm" TargetMode="External"/><Relationship Id="rId140" Type="http://schemas.openxmlformats.org/officeDocument/2006/relationships/hyperlink" Target="https://www.sec.gov/Archives/edgar/data/1521332/000152133226000044/0001521332-26-000044-index.htm" TargetMode="External"/><Relationship Id="rId141" Type="http://schemas.openxmlformats.org/officeDocument/2006/relationships/hyperlink" Target="https://www.sec.gov/Archives/edgar/data/1463101/000146310126000046/0001463101-26-000046-index.htm" TargetMode="External"/><Relationship Id="rId142" Type="http://schemas.openxmlformats.org/officeDocument/2006/relationships/hyperlink" Target="https://www.sec.gov/Archives/edgar/data/1308547/000119312526197338/0001193125-26-197338-index.htm" TargetMode="External"/><Relationship Id="rId143" Type="http://schemas.openxmlformats.org/officeDocument/2006/relationships/hyperlink" Target="https://www.sec.gov/Archives/edgar/data/1397187/000139718726000077/0001397187-26-000077-index.htm" TargetMode="External"/><Relationship Id="rId144" Type="http://schemas.openxmlformats.org/officeDocument/2006/relationships/hyperlink" Target="https://www.sec.gov/Archives/edgar/data/701985/000070198526000012/0000701985-26-000012-index.htm" TargetMode="External"/><Relationship Id="rId145" Type="http://schemas.openxmlformats.org/officeDocument/2006/relationships/hyperlink" Target="https://www.sec.gov/Archives/edgar/data/1674101/000162828026026379/0001628280-26-026379-index.htm" TargetMode="External"/><Relationship Id="rId146" Type="http://schemas.openxmlformats.org/officeDocument/2006/relationships/hyperlink" Target="https://www.sec.gov/Archives/edgar/data/3570/000000357026000016/0000003570-26-000016-index.htm" TargetMode="External"/><Relationship Id="rId147" Type="http://schemas.openxmlformats.org/officeDocument/2006/relationships/hyperlink" Target="https://www.sec.gov/Archives/edgar/data/1671933/000167193326000053/0001671933-26-000053-index.htm" TargetMode="External"/><Relationship Id="rId148" Type="http://schemas.openxmlformats.org/officeDocument/2006/relationships/hyperlink" Target="https://www.sec.gov/Archives/edgar/data/1375365/000137536526000013/0001375365-26-000013-index.htm" TargetMode="External"/><Relationship Id="rId149" Type="http://schemas.openxmlformats.org/officeDocument/2006/relationships/hyperlink" Target="https://www.sec.gov/Archives/edgar/data/1805284/000180528426000064/0001805284-26-000064-index.htm" TargetMode="External"/><Relationship Id="rId150" Type="http://schemas.openxmlformats.org/officeDocument/2006/relationships/hyperlink" Target="https://www.sec.gov/Archives/edgar/data/1037540/000103754026000015/0001037540-26-000015-index.htm" TargetMode="External"/><Relationship Id="rId151" Type="http://schemas.openxmlformats.org/officeDocument/2006/relationships/hyperlink" Target="https://www.sec.gov/Archives/edgar/data/1283699/000128369926000062/0001283699-26-000062-index.htm" TargetMode="External"/><Relationship Id="rId15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8"/>
    <col collapsed="false" customWidth="true" hidden="false" outlineLevel="0" max="4" min="4" style="0" width="44"/>
    <col collapsed="false" customWidth="true" hidden="false" outlineLevel="0" max="35" min="5" style="0" width="12"/>
    <col collapsed="false" customWidth="true" hidden="false" outlineLevel="0" max="36" min="36" style="0" width="70"/>
    <col collapsed="false" customWidth="true" hidden="false" outlineLevel="0" max="37" min="37" style="0" width="12"/>
  </cols>
  <sheetData>
    <row r="1" customFormat="false" ht="45" hidden="false" customHeight="true" outlineLevel="0" collapsed="false">
      <c r="A1" s="1" t="s">
        <v>0</v>
      </c>
      <c r="B1" s="1" t="s">
        <v>1</v>
      </c>
      <c r="C1" s="1" t="s">
        <v>2</v>
      </c>
      <c r="D1" s="1" t="s">
        <v>3</v>
      </c>
      <c r="E1" s="1" t="s">
        <v>4</v>
      </c>
      <c r="F1" s="2" t="s">
        <v>5</v>
      </c>
      <c r="G1" s="1" t="s">
        <v>6</v>
      </c>
      <c r="H1" s="1" t="s">
        <v>7</v>
      </c>
      <c r="I1" s="1" t="s">
        <v>8</v>
      </c>
      <c r="J1" s="2" t="s">
        <v>9</v>
      </c>
      <c r="K1" s="1" t="s">
        <v>10</v>
      </c>
      <c r="L1" s="1" t="s">
        <v>11</v>
      </c>
      <c r="M1" s="1"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2" t="s">
        <v>33</v>
      </c>
      <c r="AI1" s="2" t="s">
        <v>34</v>
      </c>
      <c r="AJ1" s="1" t="s">
        <v>35</v>
      </c>
      <c r="AK1" s="2" t="s">
        <v>36</v>
      </c>
    </row>
    <row r="2" customFormat="false" ht="15" hidden="false" customHeight="false" outlineLevel="0" collapsed="false">
      <c r="A2" s="0" t="s">
        <v>37</v>
      </c>
      <c r="B2" s="0" t="s">
        <v>38</v>
      </c>
      <c r="C2" s="0" t="s">
        <v>39</v>
      </c>
      <c r="D2" s="0" t="s">
        <v>40</v>
      </c>
      <c r="E2" s="0" t="s">
        <v>41</v>
      </c>
      <c r="F2" s="0" t="s">
        <v>42</v>
      </c>
      <c r="G2" s="3" t="n">
        <v>32750</v>
      </c>
      <c r="H2" s="3" t="n">
        <v>34250</v>
      </c>
      <c r="I2" s="3" t="n">
        <v>33500</v>
      </c>
      <c r="J2" s="3" t="n">
        <v>41456</v>
      </c>
      <c r="K2" s="4" t="n">
        <f aca="false">J2/I2-1</f>
        <v>0.237492537313433</v>
      </c>
      <c r="L2" s="4" t="n">
        <f aca="false">J2/H2-1</f>
        <v>0.210394160583942</v>
      </c>
      <c r="M2" s="5" t="s">
        <v>43</v>
      </c>
      <c r="N2" s="4" t="n">
        <v>0.2139</v>
      </c>
      <c r="O2" s="3" t="n">
        <v>41456</v>
      </c>
      <c r="P2" s="3" t="n">
        <v>23860</v>
      </c>
      <c r="Q2" s="3" t="n">
        <v>13643</v>
      </c>
      <c r="R2" s="3" t="n">
        <v>11315</v>
      </c>
      <c r="S2" s="3" t="n">
        <v>9301</v>
      </c>
      <c r="T2" s="3" t="n">
        <v>33318</v>
      </c>
      <c r="U2" s="3" t="n">
        <v>16135</v>
      </c>
      <c r="V2" s="3" t="n">
        <v>6136</v>
      </c>
      <c r="W2" s="3" t="n">
        <v>3693</v>
      </c>
      <c r="X2" s="3" t="n">
        <v>2169</v>
      </c>
      <c r="Y2" s="4" t="n">
        <f aca="false">IF(AND(ISNUMBER(O2),ISNUMBER(S2),S2&lt;&gt;0),O2/S2-1,"")</f>
        <v>3.45715514460811</v>
      </c>
      <c r="Z2" s="4" t="n">
        <v>14.3609958506224</v>
      </c>
      <c r="AA2" s="4" t="n">
        <f aca="false">IF(AND(ISNUMBER(O2),ISNUMBER(P2),P2&lt;&gt;0),O2/P2-1,"")</f>
        <v>0.737468566638726</v>
      </c>
      <c r="AB2" s="4" t="n">
        <f aca="false">IF(AND(ISNUMBER(P2),ISNUMBER(Q2),Q2&lt;&gt;0),P2/Q2-1,"")</f>
        <v>0.74888221065748</v>
      </c>
      <c r="AC2" s="4" t="n">
        <f aca="false">IF(AND(ISNUMBER(Q2),ISNUMBER(R2),R2&lt;&gt;0),Q2/R2-1,"")</f>
        <v>0.205744586831639</v>
      </c>
      <c r="AD2" s="4" t="n">
        <f aca="false">IF(AND(ISNUMBER(R2),ISNUMBER(S2),S2&lt;&gt;0),R2/S2-1,"")</f>
        <v>0.216535856359531</v>
      </c>
      <c r="AE2" s="6" t="n">
        <v>156.830001831055</v>
      </c>
      <c r="AF2" s="6" t="n">
        <v>1080.53002929688</v>
      </c>
      <c r="AG2" s="4" t="n">
        <f aca="false">IF(AND(ISNUMBER(AE2),ISNUMBER(AF2)),AF2/AE2-1,"")</f>
        <v>5.88981710566373</v>
      </c>
      <c r="AH2" s="7" t="n">
        <v>24.677303</v>
      </c>
      <c r="AI2" s="7" t="n">
        <v>6.8372803</v>
      </c>
      <c r="AJ2" s="5" t="s">
        <v>44</v>
      </c>
      <c r="AK2" s="8" t="s">
        <v>45</v>
      </c>
    </row>
    <row r="3" customFormat="false" ht="15" hidden="false" customHeight="false" outlineLevel="0" collapsed="false">
      <c r="A3" s="0" t="s">
        <v>46</v>
      </c>
      <c r="B3" s="0" t="s">
        <v>47</v>
      </c>
      <c r="C3" s="0" t="s">
        <v>39</v>
      </c>
      <c r="D3" s="0" t="s">
        <v>48</v>
      </c>
      <c r="E3" s="0" t="s">
        <v>41</v>
      </c>
      <c r="F3" s="0" t="s">
        <v>49</v>
      </c>
      <c r="G3" s="3" t="n">
        <v>16100</v>
      </c>
      <c r="H3" s="3" t="n">
        <v>16900</v>
      </c>
      <c r="I3" s="3" t="n">
        <v>16500</v>
      </c>
      <c r="J3" s="3" t="n">
        <v>19574.813</v>
      </c>
      <c r="K3" s="4" t="n">
        <f aca="false">J3/I3-1</f>
        <v>0.186352303030303</v>
      </c>
      <c r="L3" s="4" t="n">
        <f aca="false">J3/H3-1</f>
        <v>0.158272958579882</v>
      </c>
      <c r="M3" s="9" t="s">
        <v>50</v>
      </c>
      <c r="N3" s="4" t="n">
        <v>0.20799999</v>
      </c>
      <c r="O3" s="3" t="n">
        <v>19574.813</v>
      </c>
      <c r="P3" s="3" t="n">
        <v>17161.198</v>
      </c>
      <c r="Q3" s="3" t="n">
        <v>17379.14</v>
      </c>
      <c r="R3" s="3" t="n">
        <v>15650.924</v>
      </c>
      <c r="S3" s="3" t="n">
        <v>14946.315</v>
      </c>
      <c r="T3" s="3" t="n">
        <v>519.362</v>
      </c>
      <c r="U3" s="3" t="n">
        <v>489.36</v>
      </c>
      <c r="V3" s="3" t="n">
        <v>401.814</v>
      </c>
      <c r="W3" s="3" t="n">
        <v>385.961</v>
      </c>
      <c r="X3" s="3" t="n">
        <v>328.139</v>
      </c>
      <c r="Y3" s="4" t="n">
        <f aca="false">IF(AND(ISNUMBER(O3),ISNUMBER(S3),S3&lt;&gt;0),O3/S3-1,"")</f>
        <v>0.309674859656042</v>
      </c>
      <c r="Z3" s="4" t="n">
        <v>0.58274999314315</v>
      </c>
      <c r="AA3" s="4" t="n">
        <f aca="false">IF(AND(ISNUMBER(O3),ISNUMBER(P3),P3&lt;&gt;0),O3/P3-1,"")</f>
        <v>0.140643735944309</v>
      </c>
      <c r="AB3" s="4" t="n">
        <f aca="false">IF(AND(ISNUMBER(P3),ISNUMBER(Q3),Q3&lt;&gt;0),P3/Q3-1,"")</f>
        <v>-0.0125404364082456</v>
      </c>
      <c r="AC3" s="4" t="n">
        <f aca="false">IF(AND(ISNUMBER(Q3),ISNUMBER(R3),R3&lt;&gt;0),Q3/R3-1,"")</f>
        <v>0.110422617859495</v>
      </c>
      <c r="AD3" s="4" t="n">
        <f aca="false">IF(AND(ISNUMBER(R3),ISNUMBER(S3),S3&lt;&gt;0),R3/S3-1,"")</f>
        <v>0.047142656902387</v>
      </c>
      <c r="AE3" s="6" t="n">
        <v>159.690002441406</v>
      </c>
      <c r="AF3" s="6" t="n">
        <v>259.470001220703</v>
      </c>
      <c r="AG3" s="4" t="n">
        <f aca="false">IF(AND(ISNUMBER(AE3),ISNUMBER(AF3)),AF3/AE3-1,"")</f>
        <v>0.624835601814888</v>
      </c>
      <c r="AH3" s="7" t="n">
        <v>22.009539</v>
      </c>
      <c r="AI3" s="7" t="n">
        <v>12.651051</v>
      </c>
      <c r="AJ3" s="5" t="s">
        <v>51</v>
      </c>
      <c r="AK3" s="8" t="s">
        <v>45</v>
      </c>
    </row>
    <row r="4" customFormat="false" ht="15" hidden="false" customHeight="false" outlineLevel="0" collapsed="false">
      <c r="A4" s="0" t="s">
        <v>52</v>
      </c>
      <c r="B4" s="0" t="s">
        <v>53</v>
      </c>
      <c r="C4" s="0" t="s">
        <v>54</v>
      </c>
      <c r="D4" s="9" t="s">
        <v>55</v>
      </c>
      <c r="E4" s="0" t="s">
        <v>56</v>
      </c>
      <c r="F4" s="0" t="s">
        <v>57</v>
      </c>
      <c r="G4" s="3" t="n">
        <v>400</v>
      </c>
      <c r="H4" s="3" t="n">
        <v>410</v>
      </c>
      <c r="I4" s="3" t="n">
        <v>405</v>
      </c>
      <c r="J4" s="3" t="n">
        <v>458.8</v>
      </c>
      <c r="K4" s="4" t="n">
        <f aca="false">J4/I4-1</f>
        <v>0.13283950617284</v>
      </c>
      <c r="L4" s="4" t="n">
        <f aca="false">J4/H4-1</f>
        <v>0.119024390243903</v>
      </c>
      <c r="M4" s="9" t="s">
        <v>50</v>
      </c>
      <c r="N4" s="4" t="n">
        <v>0.38369998</v>
      </c>
      <c r="O4" s="3" t="n">
        <v>458.8</v>
      </c>
      <c r="P4" s="3" t="n">
        <v>371</v>
      </c>
      <c r="Q4" s="3" t="n">
        <v>345.1</v>
      </c>
      <c r="R4" s="3" t="n">
        <v>347.6</v>
      </c>
      <c r="S4" s="3" t="n">
        <v>351.5</v>
      </c>
      <c r="T4" s="3" t="n">
        <v>-0.8</v>
      </c>
      <c r="U4" s="3" t="n">
        <v>6.6</v>
      </c>
      <c r="V4" s="3" t="n">
        <v>10.1</v>
      </c>
      <c r="W4" s="3" t="n">
        <v>7.3</v>
      </c>
      <c r="X4" s="3" t="n">
        <v>3.7</v>
      </c>
      <c r="Y4" s="4" t="n">
        <f aca="false">IF(AND(ISNUMBER(O4),ISNUMBER(S4),S4&lt;&gt;0),O4/S4-1,"")</f>
        <v>0.305263157894737</v>
      </c>
      <c r="Z4" s="10" t="s">
        <v>58</v>
      </c>
      <c r="AA4" s="4" t="n">
        <f aca="false">IF(AND(ISNUMBER(O4),ISNUMBER(P4),P4&lt;&gt;0),O4/P4-1,"")</f>
        <v>0.236657681940701</v>
      </c>
      <c r="AB4" s="4" t="n">
        <f aca="false">IF(AND(ISNUMBER(P4),ISNUMBER(Q4),Q4&lt;&gt;0),P4/Q4-1,"")</f>
        <v>0.075050709939148</v>
      </c>
      <c r="AC4" s="4" t="n">
        <f aca="false">IF(AND(ISNUMBER(Q4),ISNUMBER(R4),R4&lt;&gt;0),Q4/R4-1,"")</f>
        <v>-0.00719217491369395</v>
      </c>
      <c r="AD4" s="4" t="n">
        <f aca="false">IF(AND(ISNUMBER(R4),ISNUMBER(S4),S4&lt;&gt;0),R4/S4-1,"")</f>
        <v>-0.0110953058321479</v>
      </c>
      <c r="AE4" s="6" t="n">
        <v>84.1999969482422</v>
      </c>
      <c r="AF4" s="6" t="n">
        <v>47.0200004577637</v>
      </c>
      <c r="AG4" s="4" t="n">
        <f aca="false">IF(AND(ISNUMBER(AE4),ISNUMBER(AF4)),AF4/AE4-1,"")</f>
        <v>-0.441567670285464</v>
      </c>
      <c r="AH4" s="7" t="n">
        <v>272.17648</v>
      </c>
      <c r="AI4" s="7" t="n">
        <v>42.017418</v>
      </c>
      <c r="AJ4" s="5" t="s">
        <v>59</v>
      </c>
      <c r="AK4" s="8" t="s">
        <v>45</v>
      </c>
    </row>
    <row r="5" customFormat="false" ht="15" hidden="false" customHeight="false" outlineLevel="0" collapsed="false">
      <c r="A5" s="0" t="s">
        <v>60</v>
      </c>
      <c r="B5" s="0" t="s">
        <v>61</v>
      </c>
      <c r="C5" s="0" t="s">
        <v>39</v>
      </c>
      <c r="D5" s="0" t="s">
        <v>62</v>
      </c>
      <c r="E5" s="0" t="s">
        <v>56</v>
      </c>
      <c r="F5" s="0" t="s">
        <v>63</v>
      </c>
      <c r="G5" s="3" t="n">
        <v>13800</v>
      </c>
      <c r="H5" s="3" t="n">
        <v>14800</v>
      </c>
      <c r="I5" s="3" t="n">
        <v>14300</v>
      </c>
      <c r="J5" s="3" t="n">
        <v>16128</v>
      </c>
      <c r="K5" s="4" t="n">
        <f aca="false">J5/I5-1</f>
        <v>0.127832167832168</v>
      </c>
      <c r="L5" s="4" t="n">
        <f aca="false">J5/H5-1</f>
        <v>0.0897297297297297</v>
      </c>
      <c r="M5" s="9" t="s">
        <v>50</v>
      </c>
      <c r="N5" s="4" t="n">
        <v>0.94589996</v>
      </c>
      <c r="O5" s="3" t="n">
        <v>16128</v>
      </c>
      <c r="P5" s="3" t="n">
        <v>13577</v>
      </c>
      <c r="Q5" s="3" t="n">
        <v>13674</v>
      </c>
      <c r="R5" s="3" t="n">
        <v>13653</v>
      </c>
      <c r="S5" s="3" t="n">
        <v>12859</v>
      </c>
      <c r="T5" s="3" t="n">
        <v>1966</v>
      </c>
      <c r="U5" s="3" t="n">
        <v>934</v>
      </c>
      <c r="V5" s="3" t="n">
        <v>550</v>
      </c>
      <c r="W5" s="3" t="n">
        <v>858</v>
      </c>
      <c r="X5" s="3" t="n">
        <v>-1286</v>
      </c>
      <c r="Y5" s="4" t="n">
        <f aca="false">IF(AND(ISNUMBER(O5),ISNUMBER(S5),S5&lt;&gt;0),O5/S5-1,"")</f>
        <v>0.254218835057158</v>
      </c>
      <c r="Z5" s="10" t="s">
        <v>64</v>
      </c>
      <c r="AA5" s="4" t="n">
        <f aca="false">IF(AND(ISNUMBER(O5),ISNUMBER(P5),P5&lt;&gt;0),O5/P5-1,"")</f>
        <v>0.187891286734919</v>
      </c>
      <c r="AB5" s="4" t="n">
        <f aca="false">IF(AND(ISNUMBER(P5),ISNUMBER(Q5),Q5&lt;&gt;0),P5/Q5-1,"")</f>
        <v>-0.00709375457071815</v>
      </c>
      <c r="AC5" s="4" t="n">
        <f aca="false">IF(AND(ISNUMBER(Q5),ISNUMBER(R5),R5&lt;&gt;0),Q5/R5-1,"")</f>
        <v>0.00153812348934301</v>
      </c>
      <c r="AD5" s="4" t="n">
        <f aca="false">IF(AND(ISNUMBER(R5),ISNUMBER(S5),S5&lt;&gt;0),R5/S5-1,"")</f>
        <v>0.0617466365969359</v>
      </c>
      <c r="AE5" s="6" t="n">
        <v>33.9900016784668</v>
      </c>
      <c r="AF5" s="6" t="n">
        <v>127.389999389648</v>
      </c>
      <c r="AG5" s="4" t="n">
        <f aca="false">IF(AND(ISNUMBER(AE5),ISNUMBER(AF5)),AF5/AE5-1,"")</f>
        <v>2.74786681668074</v>
      </c>
      <c r="AH5" s="7"/>
      <c r="AI5" s="7" t="n">
        <v>60.81966</v>
      </c>
      <c r="AJ5" s="5" t="s">
        <v>65</v>
      </c>
      <c r="AK5" s="8" t="s">
        <v>45</v>
      </c>
    </row>
    <row r="6" customFormat="false" ht="15" hidden="false" customHeight="false" outlineLevel="0" collapsed="false">
      <c r="A6" s="0" t="s">
        <v>66</v>
      </c>
      <c r="B6" s="0" t="s">
        <v>67</v>
      </c>
      <c r="C6" s="0" t="s">
        <v>39</v>
      </c>
      <c r="D6" s="9" t="s">
        <v>68</v>
      </c>
      <c r="E6" s="0" t="s">
        <v>56</v>
      </c>
      <c r="F6" s="0" t="s">
        <v>69</v>
      </c>
      <c r="G6" s="3" t="n">
        <v>7750</v>
      </c>
      <c r="H6" s="3" t="n">
        <v>8250</v>
      </c>
      <c r="I6" s="3" t="n">
        <v>8000</v>
      </c>
      <c r="J6" s="3" t="n">
        <v>8965</v>
      </c>
      <c r="K6" s="4" t="n">
        <f aca="false">J6/I6-1</f>
        <v>0.120625</v>
      </c>
      <c r="L6" s="4" t="n">
        <f aca="false">J6/H6-1</f>
        <v>0.0866666666666667</v>
      </c>
      <c r="M6" s="9" t="s">
        <v>50</v>
      </c>
      <c r="N6" s="4" t="n">
        <v>0.1372</v>
      </c>
      <c r="O6" s="3" t="n">
        <v>8965</v>
      </c>
      <c r="P6" s="3" t="n">
        <v>5950</v>
      </c>
      <c r="Q6" s="3" t="n">
        <v>3025</v>
      </c>
      <c r="R6" s="3" t="n">
        <v>2308</v>
      </c>
      <c r="S6" s="3" t="n">
        <v>1901</v>
      </c>
      <c r="T6" s="3" t="n">
        <v>7037</v>
      </c>
      <c r="U6" s="3" t="n">
        <v>4164</v>
      </c>
      <c r="V6" s="3" t="n">
        <v>1075</v>
      </c>
      <c r="W6" s="3" t="n">
        <v>192</v>
      </c>
      <c r="X6" s="3" t="n">
        <v>51</v>
      </c>
      <c r="Y6" s="4" t="n">
        <f aca="false">IF(AND(ISNUMBER(O6),ISNUMBER(S6),S6&lt;&gt;0),O6/S6-1,"")</f>
        <v>3.71593897948448</v>
      </c>
      <c r="Z6" s="4" t="n">
        <v>136.980392156863</v>
      </c>
      <c r="AA6" s="4" t="n">
        <f aca="false">IF(AND(ISNUMBER(O6),ISNUMBER(P6),P6&lt;&gt;0),O6/P6-1,"")</f>
        <v>0.50672268907563</v>
      </c>
      <c r="AB6" s="4" t="n">
        <f aca="false">IF(AND(ISNUMBER(P6),ISNUMBER(Q6),Q6&lt;&gt;0),P6/Q6-1,"")</f>
        <v>0.966942148760331</v>
      </c>
      <c r="AC6" s="4" t="n">
        <f aca="false">IF(AND(ISNUMBER(Q6),ISNUMBER(R6),R6&lt;&gt;0),Q6/R6-1,"")</f>
        <v>0.310658578856152</v>
      </c>
      <c r="AD6" s="4" t="n">
        <f aca="false">IF(AND(ISNUMBER(R6),ISNUMBER(S6),S6&lt;&gt;0),R6/S6-1,"")</f>
        <v>0.2140978432404</v>
      </c>
      <c r="AE6" s="6" t="n">
        <v>94.2900009155273</v>
      </c>
      <c r="AF6" s="6" t="n">
        <v>1753.61999511719</v>
      </c>
      <c r="AG6" s="4" t="n">
        <f aca="false">IF(AND(ISNUMBER(AE6),ISNUMBER(AF6)),AF6/AE6-1,"")</f>
        <v>17.5981543969675</v>
      </c>
      <c r="AH6" s="7" t="n">
        <v>23.994852</v>
      </c>
      <c r="AI6" s="7" t="n">
        <v>6.723481</v>
      </c>
      <c r="AJ6" s="5" t="s">
        <v>70</v>
      </c>
      <c r="AK6" s="8" t="s">
        <v>45</v>
      </c>
    </row>
    <row r="7" customFormat="false" ht="15" hidden="false" customHeight="false" outlineLevel="0" collapsed="false">
      <c r="A7" s="0" t="s">
        <v>71</v>
      </c>
      <c r="B7" s="0" t="s">
        <v>72</v>
      </c>
      <c r="C7" s="0" t="s">
        <v>54</v>
      </c>
      <c r="D7" s="9" t="s">
        <v>73</v>
      </c>
      <c r="E7" s="0" t="s">
        <v>56</v>
      </c>
      <c r="F7" s="0" t="s">
        <v>74</v>
      </c>
      <c r="G7" s="3" t="n">
        <v>392</v>
      </c>
      <c r="H7" s="3" t="n">
        <v>432</v>
      </c>
      <c r="I7" s="3" t="n">
        <v>412</v>
      </c>
      <c r="J7" s="3" t="n">
        <v>461.672</v>
      </c>
      <c r="K7" s="4" t="n">
        <f aca="false">J7/I7-1</f>
        <v>0.120563106796117</v>
      </c>
      <c r="L7" s="4" t="n">
        <f aca="false">J7/H7-1</f>
        <v>0.0686851851851853</v>
      </c>
      <c r="M7" s="9" t="s">
        <v>50</v>
      </c>
      <c r="N7" s="4" t="n">
        <v>0.0515</v>
      </c>
      <c r="O7" s="3" t="n">
        <v>461.672</v>
      </c>
      <c r="P7" s="3" t="n">
        <v>378.709</v>
      </c>
      <c r="Q7" s="3" t="n">
        <v>296.404</v>
      </c>
      <c r="R7" s="3" t="n">
        <v>283.274</v>
      </c>
      <c r="S7" s="3" t="n">
        <v>237.613</v>
      </c>
      <c r="T7" s="3" t="n">
        <v>91.9</v>
      </c>
      <c r="U7" s="3" t="n">
        <v>39.336</v>
      </c>
      <c r="V7" s="3" t="n">
        <v>20.09</v>
      </c>
      <c r="W7" s="3" t="n">
        <v>27.175</v>
      </c>
      <c r="X7" s="3" t="n">
        <v>-27.388</v>
      </c>
      <c r="Y7" s="4" t="n">
        <f aca="false">IF(AND(ISNUMBER(O7),ISNUMBER(S7),S7&lt;&gt;0),O7/S7-1,"")</f>
        <v>0.942957666457643</v>
      </c>
      <c r="Z7" s="10" t="s">
        <v>64</v>
      </c>
      <c r="AA7" s="4" t="n">
        <f aca="false">IF(AND(ISNUMBER(O7),ISNUMBER(P7),P7&lt;&gt;0),O7/P7-1,"")</f>
        <v>0.219067938707556</v>
      </c>
      <c r="AB7" s="4" t="n">
        <f aca="false">IF(AND(ISNUMBER(P7),ISNUMBER(Q7),Q7&lt;&gt;0),P7/Q7-1,"")</f>
        <v>0.277678438887464</v>
      </c>
      <c r="AC7" s="4" t="n">
        <f aca="false">IF(AND(ISNUMBER(Q7),ISNUMBER(R7),R7&lt;&gt;0),Q7/R7-1,"")</f>
        <v>0.0463508828907699</v>
      </c>
      <c r="AD7" s="4" t="n">
        <f aca="false">IF(AND(ISNUMBER(R7),ISNUMBER(S7),S7&lt;&gt;0),R7/S7-1,"")</f>
        <v>0.192165411825111</v>
      </c>
      <c r="AE7" s="6"/>
      <c r="AF7" s="6"/>
      <c r="AG7" s="4" t="str">
        <f aca="false">IF(AND(ISNUMBER(AE7),ISNUMBER(AF7)),AF7/AE7-1,"")</f>
        <v/>
      </c>
      <c r="AH7" s="7" t="n">
        <v>129.9</v>
      </c>
      <c r="AI7" s="7" t="n">
        <v>19.653826</v>
      </c>
      <c r="AJ7" s="5" t="s">
        <v>75</v>
      </c>
      <c r="AK7" s="8" t="s">
        <v>45</v>
      </c>
    </row>
    <row r="8" customFormat="false" ht="15" hidden="false" customHeight="false" outlineLevel="0" collapsed="false">
      <c r="A8" s="0" t="s">
        <v>76</v>
      </c>
      <c r="B8" s="0" t="s">
        <v>77</v>
      </c>
      <c r="C8" s="0" t="s">
        <v>78</v>
      </c>
      <c r="D8" s="9" t="s">
        <v>79</v>
      </c>
      <c r="E8" s="0" t="s">
        <v>56</v>
      </c>
      <c r="F8" s="0" t="s">
        <v>80</v>
      </c>
      <c r="G8" s="3" t="n">
        <v>715</v>
      </c>
      <c r="H8" s="3" t="n">
        <v>725</v>
      </c>
      <c r="I8" s="3" t="n">
        <v>720</v>
      </c>
      <c r="J8" s="3" t="n">
        <v>804.905</v>
      </c>
      <c r="K8" s="4" t="n">
        <f aca="false">J8/I8-1</f>
        <v>0.117923611111111</v>
      </c>
      <c r="L8" s="4" t="n">
        <f aca="false">J8/H8-1</f>
        <v>0.110213793103448</v>
      </c>
      <c r="M8" s="9" t="s">
        <v>50</v>
      </c>
      <c r="N8" s="4" t="n">
        <v>0.2956</v>
      </c>
      <c r="O8" s="3" t="n">
        <v>804.905</v>
      </c>
      <c r="P8" s="3" t="n">
        <v>663.411</v>
      </c>
      <c r="Q8" s="3" t="n">
        <v>725.607</v>
      </c>
      <c r="R8" s="3" t="n">
        <v>584.911</v>
      </c>
      <c r="S8" s="3" t="n">
        <v>499.627</v>
      </c>
      <c r="T8" s="3" t="n">
        <v>231.716</v>
      </c>
      <c r="U8" s="3" t="n">
        <v>182.912</v>
      </c>
      <c r="V8" s="3" t="n">
        <v>231.828</v>
      </c>
      <c r="W8" s="3" t="n">
        <v>138.542</v>
      </c>
      <c r="X8" s="3" t="n">
        <v>67.711</v>
      </c>
      <c r="Y8" s="4" t="n">
        <f aca="false">IF(AND(ISNUMBER(O8),ISNUMBER(S8),S8&lt;&gt;0),O8/S8-1,"")</f>
        <v>0.611011814813851</v>
      </c>
      <c r="Z8" s="4" t="n">
        <v>2.42213229755874</v>
      </c>
      <c r="AA8" s="4" t="n">
        <f aca="false">IF(AND(ISNUMBER(O8),ISNUMBER(P8),P8&lt;&gt;0),O8/P8-1,"")</f>
        <v>0.213282565408171</v>
      </c>
      <c r="AB8" s="4" t="n">
        <f aca="false">IF(AND(ISNUMBER(P8),ISNUMBER(Q8),Q8&lt;&gt;0),P8/Q8-1,"")</f>
        <v>-0.0857158213743804</v>
      </c>
      <c r="AC8" s="4" t="n">
        <f aca="false">IF(AND(ISNUMBER(Q8),ISNUMBER(R8),R8&lt;&gt;0),Q8/R8-1,"")</f>
        <v>0.240542578272592</v>
      </c>
      <c r="AD8" s="4" t="n">
        <f aca="false">IF(AND(ISNUMBER(R8),ISNUMBER(S8),S8&lt;&gt;0),R8/S8-1,"")</f>
        <v>0.170695338722687</v>
      </c>
      <c r="AE8" s="6" t="n">
        <v>232.75</v>
      </c>
      <c r="AF8" s="6" t="n">
        <v>152.720001220703</v>
      </c>
      <c r="AG8" s="4" t="n">
        <f aca="false">IF(AND(ISNUMBER(AE8),ISNUMBER(AF8)),AF8/AE8-1,"")</f>
        <v>-0.34384532236003</v>
      </c>
      <c r="AH8" s="7" t="n">
        <v>35.429234</v>
      </c>
      <c r="AI8" s="7" t="n">
        <v>15.762596</v>
      </c>
      <c r="AJ8" s="5" t="s">
        <v>81</v>
      </c>
      <c r="AK8" s="8" t="s">
        <v>45</v>
      </c>
    </row>
    <row r="9" customFormat="false" ht="15" hidden="false" customHeight="false" outlineLevel="0" collapsed="false">
      <c r="A9" s="0" t="s">
        <v>82</v>
      </c>
      <c r="B9" s="0" t="s">
        <v>83</v>
      </c>
      <c r="C9" s="0" t="s">
        <v>39</v>
      </c>
      <c r="D9" s="9" t="s">
        <v>84</v>
      </c>
      <c r="E9" s="0" t="s">
        <v>56</v>
      </c>
      <c r="F9" s="0" t="s">
        <v>69</v>
      </c>
      <c r="G9" s="3" t="n">
        <v>7300</v>
      </c>
      <c r="H9" s="3" t="n">
        <v>7600</v>
      </c>
      <c r="I9" s="3" t="n">
        <v>7450</v>
      </c>
      <c r="J9" s="3" t="n">
        <v>8295.377</v>
      </c>
      <c r="K9" s="4" t="n">
        <f aca="false">J9/I9-1</f>
        <v>0.113473422818792</v>
      </c>
      <c r="L9" s="4" t="n">
        <f aca="false">J9/H9-1</f>
        <v>0.0914969736842106</v>
      </c>
      <c r="M9" s="9" t="s">
        <v>50</v>
      </c>
      <c r="N9" s="4" t="n">
        <v>0.2881</v>
      </c>
      <c r="O9" s="3" t="n">
        <v>8295.377</v>
      </c>
      <c r="P9" s="3" t="n">
        <v>7119.779</v>
      </c>
      <c r="Q9" s="3" t="n">
        <v>6318.955</v>
      </c>
      <c r="R9" s="3" t="n">
        <v>5898.572</v>
      </c>
      <c r="S9" s="3" t="n">
        <v>5617.795</v>
      </c>
      <c r="T9" s="3" t="n">
        <v>317.526</v>
      </c>
      <c r="U9" s="3" t="n">
        <v>220.272</v>
      </c>
      <c r="V9" s="3" t="n">
        <v>171.367</v>
      </c>
      <c r="W9" s="3" t="n">
        <v>150.323</v>
      </c>
      <c r="X9" s="3" t="n">
        <v>142.513</v>
      </c>
      <c r="Y9" s="4" t="n">
        <f aca="false">IF(AND(ISNUMBER(O9),ISNUMBER(S9),S9&lt;&gt;0),O9/S9-1,"")</f>
        <v>0.4766250815489</v>
      </c>
      <c r="Z9" s="4" t="n">
        <v>1.22804937093458</v>
      </c>
      <c r="AA9" s="4" t="n">
        <f aca="false">IF(AND(ISNUMBER(O9),ISNUMBER(P9),P9&lt;&gt;0),O9/P9-1,"")</f>
        <v>0.165117203778376</v>
      </c>
      <c r="AB9" s="4" t="n">
        <f aca="false">IF(AND(ISNUMBER(P9),ISNUMBER(Q9),Q9&lt;&gt;0),P9/Q9-1,"")</f>
        <v>0.126733613390189</v>
      </c>
      <c r="AC9" s="4" t="n">
        <f aca="false">IF(AND(ISNUMBER(Q9),ISNUMBER(R9),R9&lt;&gt;0),Q9/R9-1,"")</f>
        <v>0.0712686053505831</v>
      </c>
      <c r="AD9" s="4" t="n">
        <f aca="false">IF(AND(ISNUMBER(R9),ISNUMBER(S9),S9&lt;&gt;0),R9/S9-1,"")</f>
        <v>0.0499799298479207</v>
      </c>
      <c r="AE9" s="6" t="n">
        <v>51.5699996948242</v>
      </c>
      <c r="AF9" s="6" t="n">
        <v>100.910003662109</v>
      </c>
      <c r="AG9" s="4" t="n">
        <f aca="false">IF(AND(ISNUMBER(AE9),ISNUMBER(AF9)),AF9/AE9-1,"")</f>
        <v>0.956757887517249</v>
      </c>
      <c r="AH9" s="7" t="n">
        <v>25.87</v>
      </c>
      <c r="AI9" s="7" t="n">
        <v>9.367529</v>
      </c>
      <c r="AJ9" s="5" t="s">
        <v>85</v>
      </c>
      <c r="AK9" s="8" t="s">
        <v>45</v>
      </c>
    </row>
    <row r="10" customFormat="false" ht="15" hidden="false" customHeight="false" outlineLevel="0" collapsed="false">
      <c r="A10" s="0" t="s">
        <v>86</v>
      </c>
      <c r="B10" s="0" t="s">
        <v>87</v>
      </c>
      <c r="C10" s="0" t="s">
        <v>54</v>
      </c>
      <c r="D10" s="9" t="s">
        <v>88</v>
      </c>
      <c r="E10" s="0" t="s">
        <v>89</v>
      </c>
      <c r="F10" s="0" t="s">
        <v>90</v>
      </c>
      <c r="G10" s="3" t="n">
        <v>102</v>
      </c>
      <c r="H10" s="3" t="n">
        <v>107</v>
      </c>
      <c r="I10" s="3" t="n">
        <v>104.5</v>
      </c>
      <c r="J10" s="3" t="n">
        <v>116.052</v>
      </c>
      <c r="K10" s="4" t="n">
        <f aca="false">J10/I10-1</f>
        <v>0.110545454545455</v>
      </c>
      <c r="L10" s="4" t="n">
        <f aca="false">J10/H10-1</f>
        <v>0.0845981308411217</v>
      </c>
      <c r="M10" s="9" t="s">
        <v>50</v>
      </c>
      <c r="N10" s="4" t="n">
        <v>1.9375999</v>
      </c>
      <c r="O10" s="3" t="n">
        <v>116.052</v>
      </c>
      <c r="P10" s="3" t="n">
        <v>94.15</v>
      </c>
      <c r="Q10" s="3" t="n">
        <v>86.822</v>
      </c>
      <c r="R10" s="3" t="n">
        <v>81.254</v>
      </c>
      <c r="S10" s="3" t="n">
        <v>73.386</v>
      </c>
      <c r="T10" s="3" t="n">
        <v>-13.509</v>
      </c>
      <c r="U10" s="3" t="n">
        <v>-34.888</v>
      </c>
      <c r="V10" s="3" t="n">
        <v>-36.002</v>
      </c>
      <c r="W10" s="3" t="n">
        <v>-18.34</v>
      </c>
      <c r="X10" s="3" t="n">
        <v>-17.96</v>
      </c>
      <c r="Y10" s="4" t="n">
        <f aca="false">IF(AND(ISNUMBER(O10),ISNUMBER(S10),S10&lt;&gt;0),O10/S10-1,"")</f>
        <v>0.581391546071458</v>
      </c>
      <c r="Z10" s="11" t="s">
        <v>91</v>
      </c>
      <c r="AA10" s="4" t="n">
        <f aca="false">IF(AND(ISNUMBER(O10),ISNUMBER(P10),P10&lt;&gt;0),O10/P10-1,"")</f>
        <v>0.23262878385555</v>
      </c>
      <c r="AB10" s="4" t="n">
        <f aca="false">IF(AND(ISNUMBER(P10),ISNUMBER(Q10),Q10&lt;&gt;0),P10/Q10-1,"")</f>
        <v>0.084402570776992</v>
      </c>
      <c r="AC10" s="4" t="n">
        <f aca="false">IF(AND(ISNUMBER(Q10),ISNUMBER(R10),R10&lt;&gt;0),Q10/R10-1,"")</f>
        <v>0.0685258571885692</v>
      </c>
      <c r="AD10" s="4" t="n">
        <f aca="false">IF(AND(ISNUMBER(R10),ISNUMBER(S10),S10&lt;&gt;0),R10/S10-1,"")</f>
        <v>0.107213910010084</v>
      </c>
      <c r="AE10" s="6" t="n">
        <v>11.960000038147</v>
      </c>
      <c r="AF10" s="6" t="n">
        <v>17.6200008392334</v>
      </c>
      <c r="AG10" s="4" t="n">
        <f aca="false">IF(AND(ISNUMBER(AE10),ISNUMBER(AF10)),AF10/AE10-1,"")</f>
        <v>0.473244212628227</v>
      </c>
      <c r="AH10" s="7"/>
      <c r="AI10" s="7"/>
      <c r="AJ10" s="5" t="s">
        <v>92</v>
      </c>
      <c r="AK10" s="8" t="s">
        <v>45</v>
      </c>
    </row>
    <row r="11" customFormat="false" ht="15" hidden="false" customHeight="false" outlineLevel="0" collapsed="false">
      <c r="A11" s="0" t="s">
        <v>93</v>
      </c>
      <c r="B11" s="0" t="s">
        <v>94</v>
      </c>
      <c r="C11" s="0" t="s">
        <v>39</v>
      </c>
      <c r="D11" s="9" t="s">
        <v>95</v>
      </c>
      <c r="E11" s="0" t="s">
        <v>89</v>
      </c>
      <c r="F11" s="0" t="s">
        <v>96</v>
      </c>
      <c r="G11" s="3" t="n">
        <v>1750</v>
      </c>
      <c r="H11" s="3" t="n">
        <v>1900</v>
      </c>
      <c r="I11" s="3" t="n">
        <v>1825</v>
      </c>
      <c r="J11" s="3" t="n">
        <v>2025</v>
      </c>
      <c r="K11" s="4" t="n">
        <f aca="false">J11/I11-1</f>
        <v>0.10958904109589</v>
      </c>
      <c r="L11" s="4" t="n">
        <f aca="false">J11/H11-1</f>
        <v>0.0657894736842106</v>
      </c>
      <c r="M11" s="9" t="s">
        <v>50</v>
      </c>
      <c r="N11" s="4" t="n">
        <v>0.21540001</v>
      </c>
      <c r="O11" s="3" t="n">
        <v>2025</v>
      </c>
      <c r="P11" s="3" t="n">
        <v>1948</v>
      </c>
      <c r="Q11" s="3" t="n">
        <v>1713</v>
      </c>
      <c r="R11" s="3" t="n">
        <v>1705</v>
      </c>
      <c r="S11" s="3" t="n">
        <v>1559</v>
      </c>
      <c r="T11" s="3" t="n">
        <v>540</v>
      </c>
      <c r="U11" s="3" t="n">
        <v>531</v>
      </c>
      <c r="V11" s="3" t="n">
        <v>431</v>
      </c>
      <c r="W11" s="3" t="n">
        <v>422</v>
      </c>
      <c r="X11" s="3" t="n">
        <v>311</v>
      </c>
      <c r="Y11" s="4" t="n">
        <f aca="false">IF(AND(ISNUMBER(O11),ISNUMBER(S11),S11&lt;&gt;0),O11/S11-1,"")</f>
        <v>0.298909557408595</v>
      </c>
      <c r="Z11" s="4" t="n">
        <v>0.736334405144695</v>
      </c>
      <c r="AA11" s="4" t="n">
        <f aca="false">IF(AND(ISNUMBER(O11),ISNUMBER(P11),P11&lt;&gt;0),O11/P11-1,"")</f>
        <v>0.0395277207392197</v>
      </c>
      <c r="AB11" s="4" t="n">
        <f aca="false">IF(AND(ISNUMBER(P11),ISNUMBER(Q11),Q11&lt;&gt;0),P11/Q11-1,"")</f>
        <v>0.137186223000584</v>
      </c>
      <c r="AC11" s="4" t="n">
        <f aca="false">IF(AND(ISNUMBER(Q11),ISNUMBER(R11),R11&lt;&gt;0),Q11/R11-1,"")</f>
        <v>0.0046920821114369</v>
      </c>
      <c r="AD11" s="4" t="n">
        <f aca="false">IF(AND(ISNUMBER(R11),ISNUMBER(S11),S11&lt;&gt;0),R11/S11-1,"")</f>
        <v>0.0936497754971135</v>
      </c>
      <c r="AE11" s="6" t="n">
        <v>120.779998779297</v>
      </c>
      <c r="AF11" s="6" t="n">
        <v>197.240005493164</v>
      </c>
      <c r="AG11" s="4" t="n">
        <f aca="false">IF(AND(ISNUMBER(AE11),ISNUMBER(AF11)),AF11/AE11-1,"")</f>
        <v>0.633051891758864</v>
      </c>
      <c r="AH11" s="7" t="n">
        <v>28.12712</v>
      </c>
      <c r="AI11" s="7" t="n">
        <v>17.90676</v>
      </c>
      <c r="AJ11" s="5" t="s">
        <v>97</v>
      </c>
      <c r="AK11" s="8" t="s">
        <v>45</v>
      </c>
    </row>
    <row r="12" customFormat="false" ht="15" hidden="false" customHeight="false" outlineLevel="0" collapsed="false">
      <c r="A12" s="0" t="s">
        <v>98</v>
      </c>
      <c r="B12" s="0" t="s">
        <v>99</v>
      </c>
      <c r="C12" s="0" t="s">
        <v>39</v>
      </c>
      <c r="D12" s="9" t="s">
        <v>100</v>
      </c>
      <c r="E12" s="0" t="s">
        <v>56</v>
      </c>
      <c r="F12" s="0" t="s">
        <v>101</v>
      </c>
      <c r="G12" s="3" t="n">
        <v>1150</v>
      </c>
      <c r="H12" s="3" t="n">
        <v>1250</v>
      </c>
      <c r="I12" s="3" t="n">
        <v>1200</v>
      </c>
      <c r="J12" s="3" t="n">
        <v>1328.99</v>
      </c>
      <c r="K12" s="4" t="n">
        <f aca="false">J12/I12-1</f>
        <v>0.107491666666667</v>
      </c>
      <c r="L12" s="4" t="n">
        <f aca="false">J12/H12-1</f>
        <v>0.0631919999999999</v>
      </c>
      <c r="M12" s="9" t="s">
        <v>50</v>
      </c>
      <c r="N12" s="4" t="n">
        <v>0.2028</v>
      </c>
      <c r="O12" s="3" t="n">
        <v>1328.99</v>
      </c>
      <c r="P12" s="3" t="n">
        <v>1282.494</v>
      </c>
      <c r="Q12" s="3" t="n">
        <v>1083.337</v>
      </c>
      <c r="R12" s="3" t="n">
        <v>769.21</v>
      </c>
      <c r="S12" s="3" t="n">
        <v>651.797</v>
      </c>
      <c r="T12" s="3" t="n">
        <v>440.842</v>
      </c>
      <c r="U12" s="3" t="n">
        <v>476.427</v>
      </c>
      <c r="V12" s="3" t="n">
        <v>308.283</v>
      </c>
      <c r="W12" s="3" t="n">
        <v>151.888</v>
      </c>
      <c r="X12" s="3" t="n">
        <v>93.115</v>
      </c>
      <c r="Y12" s="4" t="n">
        <f aca="false">IF(AND(ISNUMBER(O12),ISNUMBER(S12),S12&lt;&gt;0),O12/S12-1,"")</f>
        <v>1.03896305137949</v>
      </c>
      <c r="Z12" s="4" t="n">
        <v>3.73438221553992</v>
      </c>
      <c r="AA12" s="4" t="n">
        <f aca="false">IF(AND(ISNUMBER(O12),ISNUMBER(P12),P12&lt;&gt;0),O12/P12-1,"")</f>
        <v>0.0362543606441825</v>
      </c>
      <c r="AB12" s="4" t="n">
        <f aca="false">IF(AND(ISNUMBER(P12),ISNUMBER(Q12),Q12&lt;&gt;0),P12/Q12-1,"")</f>
        <v>0.183836608553017</v>
      </c>
      <c r="AC12" s="4" t="n">
        <f aca="false">IF(AND(ISNUMBER(Q12),ISNUMBER(R12),R12&lt;&gt;0),Q12/R12-1,"")</f>
        <v>0.408376126155406</v>
      </c>
      <c r="AD12" s="4" t="n">
        <f aca="false">IF(AND(ISNUMBER(R12),ISNUMBER(S12),S12&lt;&gt;0),R12/S12-1,"")</f>
        <v>0.180137374059715</v>
      </c>
      <c r="AE12" s="6" t="n">
        <v>132.869995117188</v>
      </c>
      <c r="AF12" s="6" t="n">
        <v>387.700012207031</v>
      </c>
      <c r="AG12" s="4" t="n">
        <f aca="false">IF(AND(ISNUMBER(AE12),ISNUMBER(AF12)),AF12/AE12-1,"")</f>
        <v>1.91788986569233</v>
      </c>
      <c r="AH12" s="7" t="n">
        <v>54.462276</v>
      </c>
      <c r="AI12" s="7" t="n">
        <v>34.072605</v>
      </c>
      <c r="AJ12" s="5" t="s">
        <v>102</v>
      </c>
      <c r="AK12" s="8" t="s">
        <v>45</v>
      </c>
    </row>
    <row r="13" customFormat="false" ht="15" hidden="false" customHeight="false" outlineLevel="0" collapsed="false">
      <c r="A13" s="0" t="s">
        <v>103</v>
      </c>
      <c r="B13" s="0" t="s">
        <v>104</v>
      </c>
      <c r="C13" s="0" t="s">
        <v>105</v>
      </c>
      <c r="D13" s="9" t="s">
        <v>106</v>
      </c>
      <c r="E13" s="0" t="s">
        <v>56</v>
      </c>
      <c r="F13" s="0" t="s">
        <v>63</v>
      </c>
      <c r="G13" s="3" t="n">
        <v>1320</v>
      </c>
      <c r="H13" s="3" t="n">
        <v>1350</v>
      </c>
      <c r="I13" s="3" t="n">
        <v>1335</v>
      </c>
      <c r="J13" s="3" t="n">
        <v>1474.6</v>
      </c>
      <c r="K13" s="4" t="n">
        <f aca="false">J13/I13-1</f>
        <v>0.104569288389513</v>
      </c>
      <c r="L13" s="4" t="n">
        <f aca="false">J13/H13-1</f>
        <v>0.0922962962962963</v>
      </c>
      <c r="M13" s="9" t="s">
        <v>50</v>
      </c>
      <c r="N13" s="4"/>
      <c r="O13" s="3" t="n">
        <v>1474.6</v>
      </c>
      <c r="P13" s="3" t="n">
        <v>1403.9</v>
      </c>
      <c r="Q13" s="3" t="n">
        <v>1239.8</v>
      </c>
      <c r="R13" s="3" t="n">
        <v>1292.2</v>
      </c>
      <c r="S13" s="3" t="n">
        <v>899.9</v>
      </c>
      <c r="T13" s="3" t="n">
        <v>237.9</v>
      </c>
      <c r="U13" s="3" t="n">
        <v>217.4</v>
      </c>
      <c r="V13" s="3" t="n">
        <v>181.9</v>
      </c>
      <c r="W13" s="3" t="n">
        <v>154.5</v>
      </c>
      <c r="X13" s="3" t="n">
        <v>168.7</v>
      </c>
      <c r="Y13" s="4" t="n">
        <f aca="false">IF(AND(ISNUMBER(O13),ISNUMBER(S13),S13&lt;&gt;0),O13/S13-1,"")</f>
        <v>0.638626514057118</v>
      </c>
      <c r="Z13" s="4" t="n">
        <v>0.410195613515116</v>
      </c>
      <c r="AA13" s="4" t="n">
        <f aca="false">IF(AND(ISNUMBER(O13),ISNUMBER(P13),P13&lt;&gt;0),O13/P13-1,"")</f>
        <v>0.0503597122302157</v>
      </c>
      <c r="AB13" s="4" t="n">
        <f aca="false">IF(AND(ISNUMBER(P13),ISNUMBER(Q13),Q13&lt;&gt;0),P13/Q13-1,"")</f>
        <v>0.132360058073883</v>
      </c>
      <c r="AC13" s="4" t="n">
        <f aca="false">IF(AND(ISNUMBER(Q13),ISNUMBER(R13),R13&lt;&gt;0),Q13/R13-1,"")</f>
        <v>-0.0405509982974772</v>
      </c>
      <c r="AD13" s="4" t="n">
        <f aca="false">IF(AND(ISNUMBER(R13),ISNUMBER(S13),S13&lt;&gt;0),R13/S13-1,"")</f>
        <v>0.435937326369597</v>
      </c>
      <c r="AE13" s="6" t="n">
        <v>18.5900001525879</v>
      </c>
      <c r="AF13" s="6" t="n">
        <v>26.1000003814697</v>
      </c>
      <c r="AG13" s="4" t="n">
        <f aca="false">IF(AND(ISNUMBER(AE13),ISNUMBER(AF13)),AF13/AE13-1,"")</f>
        <v>0.403980643746062</v>
      </c>
      <c r="AH13" s="7" t="n">
        <v>118.90909</v>
      </c>
      <c r="AI13" s="7" t="n">
        <v>16.17981</v>
      </c>
      <c r="AJ13" s="5" t="s">
        <v>107</v>
      </c>
      <c r="AK13" s="8" t="s">
        <v>45</v>
      </c>
    </row>
    <row r="14" customFormat="false" ht="15" hidden="false" customHeight="false" outlineLevel="0" collapsed="false">
      <c r="A14" s="0" t="s">
        <v>108</v>
      </c>
      <c r="B14" s="0" t="s">
        <v>109</v>
      </c>
      <c r="C14" s="0" t="s">
        <v>39</v>
      </c>
      <c r="D14" s="9" t="s">
        <v>110</v>
      </c>
      <c r="E14" s="0" t="s">
        <v>56</v>
      </c>
      <c r="F14" s="0" t="s">
        <v>80</v>
      </c>
      <c r="G14" s="3" t="n">
        <v>890</v>
      </c>
      <c r="H14" s="3" t="n">
        <v>910</v>
      </c>
      <c r="I14" s="3" t="n">
        <v>900</v>
      </c>
      <c r="J14" s="3" t="n">
        <v>980.642</v>
      </c>
      <c r="K14" s="4" t="n">
        <f aca="false">J14/I14-1</f>
        <v>0.0896022222222224</v>
      </c>
      <c r="L14" s="4" t="n">
        <f aca="false">J14/H14-1</f>
        <v>0.0776285714285714</v>
      </c>
      <c r="M14" s="9" t="s">
        <v>50</v>
      </c>
      <c r="N14" s="4" t="n">
        <v>0.105299994</v>
      </c>
      <c r="O14" s="3" t="n">
        <v>980.642</v>
      </c>
      <c r="P14" s="3" t="n">
        <v>804.185</v>
      </c>
      <c r="Q14" s="3" t="n">
        <v>751.155</v>
      </c>
      <c r="R14" s="3" t="n">
        <v>737.176</v>
      </c>
      <c r="S14" s="3" t="n">
        <v>664.574</v>
      </c>
      <c r="T14" s="3" t="n">
        <v>303.894</v>
      </c>
      <c r="U14" s="3" t="n">
        <v>241.152</v>
      </c>
      <c r="V14" s="3" t="n">
        <v>199.936</v>
      </c>
      <c r="W14" s="3" t="n">
        <v>195.183</v>
      </c>
      <c r="X14" s="3" t="n">
        <v>164.758</v>
      </c>
      <c r="Y14" s="4" t="n">
        <f aca="false">IF(AND(ISNUMBER(O14),ISNUMBER(S14),S14&lt;&gt;0),O14/S14-1,"")</f>
        <v>0.475594892367141</v>
      </c>
      <c r="Z14" s="4" t="n">
        <v>0.84448706587844</v>
      </c>
      <c r="AA14" s="4" t="n">
        <f aca="false">IF(AND(ISNUMBER(O14),ISNUMBER(P14),P14&lt;&gt;0),O14/P14-1,"")</f>
        <v>0.219423391383824</v>
      </c>
      <c r="AB14" s="4" t="n">
        <f aca="false">IF(AND(ISNUMBER(P14),ISNUMBER(Q14),Q14&lt;&gt;0),P14/Q14-1,"")</f>
        <v>0.0705979458300883</v>
      </c>
      <c r="AC14" s="4" t="n">
        <f aca="false">IF(AND(ISNUMBER(Q14),ISNUMBER(R14),R14&lt;&gt;0),Q14/R14-1,"")</f>
        <v>0.0189629070940995</v>
      </c>
      <c r="AD14" s="4" t="n">
        <f aca="false">IF(AND(ISNUMBER(R14),ISNUMBER(S14),S14&lt;&gt;0),R14/S14-1,"")</f>
        <v>0.109245922952147</v>
      </c>
      <c r="AE14" s="6" t="n">
        <v>891.390014648438</v>
      </c>
      <c r="AF14" s="6" t="n">
        <v>1335.55004882813</v>
      </c>
      <c r="AG14" s="4" t="n">
        <f aca="false">IF(AND(ISNUMBER(AE14),ISNUMBER(AF14)),AF14/AE14-1,"")</f>
        <v>0.498278000516826</v>
      </c>
      <c r="AH14" s="7" t="n">
        <v>82.99483</v>
      </c>
      <c r="AI14" s="7" t="n">
        <v>39.104607</v>
      </c>
      <c r="AJ14" s="5" t="s">
        <v>111</v>
      </c>
      <c r="AK14" s="8" t="s">
        <v>45</v>
      </c>
    </row>
    <row r="15" customFormat="false" ht="15" hidden="false" customHeight="false" outlineLevel="0" collapsed="false">
      <c r="A15" s="0" t="s">
        <v>112</v>
      </c>
      <c r="B15" s="0" t="s">
        <v>113</v>
      </c>
      <c r="C15" s="0" t="s">
        <v>39</v>
      </c>
      <c r="D15" s="9" t="s">
        <v>114</v>
      </c>
      <c r="E15" s="0" t="s">
        <v>56</v>
      </c>
      <c r="F15" s="0" t="s">
        <v>101</v>
      </c>
      <c r="G15" s="3" t="n">
        <v>1830</v>
      </c>
      <c r="H15" s="3" t="n">
        <v>1930</v>
      </c>
      <c r="I15" s="3" t="n">
        <v>1880</v>
      </c>
      <c r="J15" s="3" t="n">
        <v>2047.9</v>
      </c>
      <c r="K15" s="4" t="n">
        <f aca="false">J15/I15-1</f>
        <v>0.0893085106382978</v>
      </c>
      <c r="L15" s="4" t="n">
        <f aca="false">J15/H15-1</f>
        <v>0.0610880829015545</v>
      </c>
      <c r="M15" s="9" t="s">
        <v>50</v>
      </c>
      <c r="N15" s="4" t="n">
        <v>0.2053</v>
      </c>
      <c r="O15" s="3" t="n">
        <v>2047.9</v>
      </c>
      <c r="P15" s="3" t="n">
        <v>1849.6</v>
      </c>
      <c r="Q15" s="3" t="n">
        <v>1905</v>
      </c>
      <c r="R15" s="3" t="n">
        <v>1724.9</v>
      </c>
      <c r="S15" s="3" t="n">
        <v>1630</v>
      </c>
      <c r="T15" s="3" t="n">
        <v>689.3</v>
      </c>
      <c r="U15" s="3" t="n">
        <v>580</v>
      </c>
      <c r="V15" s="3" t="n">
        <v>625.6</v>
      </c>
      <c r="W15" s="3" t="n">
        <v>547.3</v>
      </c>
      <c r="X15" s="3" t="n">
        <v>458</v>
      </c>
      <c r="Y15" s="4" t="n">
        <f aca="false">IF(AND(ISNUMBER(O15),ISNUMBER(S15),S15&lt;&gt;0),O15/S15-1,"")</f>
        <v>0.25638036809816</v>
      </c>
      <c r="Z15" s="4" t="n">
        <v>0.505021834061135</v>
      </c>
      <c r="AA15" s="4" t="n">
        <f aca="false">IF(AND(ISNUMBER(O15),ISNUMBER(P15),P15&lt;&gt;0),O15/P15-1,"")</f>
        <v>0.107212370242215</v>
      </c>
      <c r="AB15" s="4" t="n">
        <f aca="false">IF(AND(ISNUMBER(P15),ISNUMBER(Q15),Q15&lt;&gt;0),P15/Q15-1,"")</f>
        <v>-0.0290813648293964</v>
      </c>
      <c r="AC15" s="4" t="n">
        <f aca="false">IF(AND(ISNUMBER(Q15),ISNUMBER(R15),R15&lt;&gt;0),Q15/R15-1,"")</f>
        <v>0.104411849962317</v>
      </c>
      <c r="AD15" s="4" t="n">
        <f aca="false">IF(AND(ISNUMBER(R15),ISNUMBER(S15),S15&lt;&gt;0),R15/S15-1,"")</f>
        <v>0.0582208588957056</v>
      </c>
      <c r="AE15" s="6" t="n">
        <v>83.2099990844727</v>
      </c>
      <c r="AF15" s="6" t="n">
        <v>178.669998168945</v>
      </c>
      <c r="AG15" s="4" t="n">
        <f aca="false">IF(AND(ISNUMBER(AE15),ISNUMBER(AF15)),AF15/AE15-1,"")</f>
        <v>1.14721788408583</v>
      </c>
      <c r="AH15" s="7" t="n">
        <v>61.87057</v>
      </c>
      <c r="AI15" s="7" t="n">
        <v>46.184654</v>
      </c>
      <c r="AJ15" s="5" t="s">
        <v>115</v>
      </c>
      <c r="AK15" s="8" t="s">
        <v>45</v>
      </c>
    </row>
    <row r="16" customFormat="false" ht="15" hidden="false" customHeight="false" outlineLevel="0" collapsed="false">
      <c r="A16" s="0" t="s">
        <v>116</v>
      </c>
      <c r="B16" s="0" t="s">
        <v>117</v>
      </c>
      <c r="C16" s="0" t="s">
        <v>39</v>
      </c>
      <c r="D16" s="9" t="s">
        <v>118</v>
      </c>
      <c r="E16" s="0" t="s">
        <v>56</v>
      </c>
      <c r="F16" s="0" t="s">
        <v>57</v>
      </c>
      <c r="G16" s="3" t="n">
        <v>175</v>
      </c>
      <c r="H16" s="3" t="n">
        <v>195</v>
      </c>
      <c r="I16" s="3" t="n">
        <v>185</v>
      </c>
      <c r="J16" s="3" t="n">
        <v>201.079</v>
      </c>
      <c r="K16" s="4" t="n">
        <f aca="false">J16/I16-1</f>
        <v>0.0869135135135135</v>
      </c>
      <c r="L16" s="4" t="n">
        <f aca="false">J16/H16-1</f>
        <v>0.0311743589743589</v>
      </c>
      <c r="M16" s="9" t="s">
        <v>50</v>
      </c>
      <c r="N16" s="4" t="n">
        <v>0.1906</v>
      </c>
      <c r="O16" s="3" t="n">
        <v>201.079</v>
      </c>
      <c r="P16" s="3" t="n">
        <v>170.897</v>
      </c>
      <c r="Q16" s="3" t="n">
        <v>145.792</v>
      </c>
      <c r="R16" s="3" t="n">
        <v>133.349</v>
      </c>
      <c r="S16" s="3" t="n">
        <v>123.971</v>
      </c>
      <c r="T16" s="3" t="n">
        <v>26.804</v>
      </c>
      <c r="U16" s="3" t="n">
        <v>26.671</v>
      </c>
      <c r="V16" s="3" t="n">
        <v>2.192</v>
      </c>
      <c r="W16" s="3" t="n">
        <v>-0.528</v>
      </c>
      <c r="X16" s="3" t="n">
        <v>6.397</v>
      </c>
      <c r="Y16" s="4" t="n">
        <f aca="false">IF(AND(ISNUMBER(O16),ISNUMBER(S16),S16&lt;&gt;0),O16/S16-1,"")</f>
        <v>0.621984173718047</v>
      </c>
      <c r="Z16" s="4" t="n">
        <v>3.19008910426763</v>
      </c>
      <c r="AA16" s="4" t="n">
        <f aca="false">IF(AND(ISNUMBER(O16),ISNUMBER(P16),P16&lt;&gt;0),O16/P16-1,"")</f>
        <v>0.176609302679392</v>
      </c>
      <c r="AB16" s="4" t="n">
        <f aca="false">IF(AND(ISNUMBER(P16),ISNUMBER(Q16),Q16&lt;&gt;0),P16/Q16-1,"")</f>
        <v>0.172197377085162</v>
      </c>
      <c r="AC16" s="4" t="n">
        <f aca="false">IF(AND(ISNUMBER(Q16),ISNUMBER(R16),R16&lt;&gt;0),Q16/R16-1,"")</f>
        <v>0.0933115358945325</v>
      </c>
      <c r="AD16" s="4" t="n">
        <f aca="false">IF(AND(ISNUMBER(R16),ISNUMBER(S16),S16&lt;&gt;0),R16/S16-1,"")</f>
        <v>0.0756467238305731</v>
      </c>
      <c r="AE16" s="6" t="n">
        <v>72.0599975585938</v>
      </c>
      <c r="AF16" s="6" t="n">
        <v>122.220001220703</v>
      </c>
      <c r="AG16" s="4" t="n">
        <f aca="false">IF(AND(ISNUMBER(AE16),ISNUMBER(AF16)),AF16/AE16-1,"")</f>
        <v>0.696086668908405</v>
      </c>
      <c r="AH16" s="7" t="n">
        <v>528.1875</v>
      </c>
      <c r="AI16" s="7" t="n">
        <v>39.455624</v>
      </c>
      <c r="AJ16" s="5" t="s">
        <v>119</v>
      </c>
      <c r="AK16" s="8" t="s">
        <v>45</v>
      </c>
    </row>
    <row r="17" customFormat="false" ht="15" hidden="false" customHeight="false" outlineLevel="0" collapsed="false">
      <c r="A17" s="0" t="s">
        <v>120</v>
      </c>
      <c r="B17" s="0" t="s">
        <v>121</v>
      </c>
      <c r="C17" s="0" t="s">
        <v>39</v>
      </c>
      <c r="D17" s="9" t="s">
        <v>122</v>
      </c>
      <c r="E17" s="0" t="s">
        <v>56</v>
      </c>
      <c r="F17" s="0" t="s">
        <v>57</v>
      </c>
      <c r="G17" s="3" t="n">
        <v>2800</v>
      </c>
      <c r="H17" s="3" t="n">
        <v>2800</v>
      </c>
      <c r="I17" s="3" t="n">
        <v>2800</v>
      </c>
      <c r="J17" s="3" t="n">
        <v>3035.7</v>
      </c>
      <c r="K17" s="4" t="n">
        <f aca="false">J17/I17-1</f>
        <v>0.0841785714285714</v>
      </c>
      <c r="L17" s="4" t="n">
        <f aca="false">J17/H17-1</f>
        <v>0.0841785714285714</v>
      </c>
      <c r="M17" s="9" t="s">
        <v>123</v>
      </c>
      <c r="N17" s="4" t="n">
        <v>0.1518</v>
      </c>
      <c r="O17" s="3" t="n">
        <v>3035.7</v>
      </c>
      <c r="P17" s="3" t="n">
        <v>2709</v>
      </c>
      <c r="Q17" s="3" t="n">
        <v>2487.8</v>
      </c>
      <c r="R17" s="3" t="n">
        <v>2308.3</v>
      </c>
      <c r="S17" s="3" t="n">
        <v>2204.8</v>
      </c>
      <c r="T17" s="3" t="n">
        <v>1378</v>
      </c>
      <c r="U17" s="3" t="n">
        <v>1157.8</v>
      </c>
      <c r="V17" s="3" t="n">
        <v>1032.9</v>
      </c>
      <c r="W17" s="3" t="n">
        <v>978.2</v>
      </c>
      <c r="X17" s="3" t="n">
        <v>986.2</v>
      </c>
      <c r="Y17" s="4" t="n">
        <f aca="false">IF(AND(ISNUMBER(O17),ISNUMBER(S17),S17&lt;&gt;0),O17/S17-1,"")</f>
        <v>0.376859579100145</v>
      </c>
      <c r="Z17" s="4" t="n">
        <v>0.39728249847901</v>
      </c>
      <c r="AA17" s="4" t="n">
        <f aca="false">IF(AND(ISNUMBER(O17),ISNUMBER(P17),P17&lt;&gt;0),O17/P17-1,"")</f>
        <v>0.120598006644518</v>
      </c>
      <c r="AB17" s="4" t="n">
        <f aca="false">IF(AND(ISNUMBER(P17),ISNUMBER(Q17),Q17&lt;&gt;0),P17/Q17-1,"")</f>
        <v>0.088913899831176</v>
      </c>
      <c r="AC17" s="4" t="n">
        <f aca="false">IF(AND(ISNUMBER(Q17),ISNUMBER(R17),R17&lt;&gt;0),Q17/R17-1,"")</f>
        <v>0.0777628557813108</v>
      </c>
      <c r="AD17" s="4" t="n">
        <f aca="false">IF(AND(ISNUMBER(R17),ISNUMBER(S17),S17&lt;&gt;0),R17/S17-1,"")</f>
        <v>0.0469430333817127</v>
      </c>
      <c r="AE17" s="6" t="n">
        <v>143.059997558594</v>
      </c>
      <c r="AF17" s="6" t="n">
        <v>205.699996948242</v>
      </c>
      <c r="AG17" s="4" t="n">
        <f aca="false">IF(AND(ISNUMBER(AE17),ISNUMBER(AF17)),AF17/AE17-1,"")</f>
        <v>0.437858244503273</v>
      </c>
      <c r="AH17" s="7" t="n">
        <v>65.87619</v>
      </c>
      <c r="AI17" s="7" t="n">
        <v>40.002544</v>
      </c>
      <c r="AJ17" s="5" t="s">
        <v>124</v>
      </c>
      <c r="AK17" s="8" t="s">
        <v>45</v>
      </c>
    </row>
    <row r="18" customFormat="false" ht="15" hidden="false" customHeight="false" outlineLevel="0" collapsed="false">
      <c r="A18" s="0" t="s">
        <v>125</v>
      </c>
      <c r="B18" s="0" t="s">
        <v>126</v>
      </c>
      <c r="C18" s="0" t="s">
        <v>39</v>
      </c>
      <c r="D18" s="9" t="s">
        <v>127</v>
      </c>
      <c r="E18" s="0" t="s">
        <v>89</v>
      </c>
      <c r="F18" s="0" t="s">
        <v>128</v>
      </c>
      <c r="G18" s="3" t="n">
        <v>395</v>
      </c>
      <c r="H18" s="3" t="n">
        <v>397</v>
      </c>
      <c r="I18" s="3" t="n">
        <v>396</v>
      </c>
      <c r="J18" s="3" t="n">
        <v>427.26</v>
      </c>
      <c r="K18" s="4" t="n">
        <f aca="false">J18/I18-1</f>
        <v>0.0789393939393939</v>
      </c>
      <c r="L18" s="4" t="n">
        <f aca="false">J18/H18-1</f>
        <v>0.0762216624685139</v>
      </c>
      <c r="M18" s="9" t="s">
        <v>50</v>
      </c>
      <c r="N18" s="4" t="n">
        <v>4.0955</v>
      </c>
      <c r="O18" s="3" t="n">
        <v>427.26</v>
      </c>
      <c r="P18" s="3" t="n">
        <v>387.068</v>
      </c>
      <c r="Q18" s="3" t="n">
        <v>377.684</v>
      </c>
      <c r="R18" s="3" t="n">
        <v>350.166</v>
      </c>
      <c r="S18" s="3" t="n">
        <v>309.86</v>
      </c>
      <c r="T18" s="3" t="n">
        <v>-71.902</v>
      </c>
      <c r="U18" s="3" t="n">
        <v>-52.634</v>
      </c>
      <c r="V18" s="3" t="n">
        <v>-82.379</v>
      </c>
      <c r="W18" s="3" t="n">
        <v>-75.483</v>
      </c>
      <c r="X18" s="3" t="n">
        <v>-94.463</v>
      </c>
      <c r="Y18" s="4" t="n">
        <f aca="false">IF(AND(ISNUMBER(O18),ISNUMBER(S18),S18&lt;&gt;0),O18/S18-1,"")</f>
        <v>0.378880784870587</v>
      </c>
      <c r="Z18" s="11" t="s">
        <v>91</v>
      </c>
      <c r="AA18" s="4" t="n">
        <f aca="false">IF(AND(ISNUMBER(O18),ISNUMBER(P18),P18&lt;&gt;0),O18/P18-1,"")</f>
        <v>0.103837051887524</v>
      </c>
      <c r="AB18" s="4" t="n">
        <f aca="false">IF(AND(ISNUMBER(P18),ISNUMBER(Q18),Q18&lt;&gt;0),P18/Q18-1,"")</f>
        <v>0.0248461676957454</v>
      </c>
      <c r="AC18" s="4" t="n">
        <f aca="false">IF(AND(ISNUMBER(Q18),ISNUMBER(R18),R18&lt;&gt;0),Q18/R18-1,"")</f>
        <v>0.0785855851224848</v>
      </c>
      <c r="AD18" s="4" t="n">
        <f aca="false">IF(AND(ISNUMBER(R18),ISNUMBER(S18),S18&lt;&gt;0),R18/S18-1,"")</f>
        <v>0.130078099787001</v>
      </c>
      <c r="AE18" s="6" t="n">
        <v>81.9899978637695</v>
      </c>
      <c r="AF18" s="6" t="n">
        <v>113.800003051758</v>
      </c>
      <c r="AG18" s="4" t="n">
        <f aca="false">IF(AND(ISNUMBER(AE18),ISNUMBER(AF18)),AF18/AE18-1,"")</f>
        <v>0.387974216572638</v>
      </c>
      <c r="AH18" s="7"/>
      <c r="AI18" s="7" t="n">
        <v>146.12128</v>
      </c>
      <c r="AJ18" s="5" t="s">
        <v>129</v>
      </c>
      <c r="AK18" s="8" t="s">
        <v>45</v>
      </c>
    </row>
    <row r="19" customFormat="false" ht="15" hidden="false" customHeight="false" outlineLevel="0" collapsed="false">
      <c r="A19" s="0" t="s">
        <v>130</v>
      </c>
      <c r="B19" s="0" t="s">
        <v>131</v>
      </c>
      <c r="C19" s="0" t="s">
        <v>39</v>
      </c>
      <c r="D19" s="9" t="s">
        <v>132</v>
      </c>
      <c r="E19" s="0" t="s">
        <v>89</v>
      </c>
      <c r="F19" s="0" t="s">
        <v>133</v>
      </c>
      <c r="G19" s="3" t="n">
        <v>1095</v>
      </c>
      <c r="H19" s="3" t="n">
        <v>1105</v>
      </c>
      <c r="I19" s="3" t="n">
        <v>1100</v>
      </c>
      <c r="J19" s="3" t="n">
        <v>1185.898</v>
      </c>
      <c r="K19" s="4" t="n">
        <f aca="false">J19/I19-1</f>
        <v>0.0780890909090908</v>
      </c>
      <c r="L19" s="4" t="n">
        <f aca="false">J19/H19-1</f>
        <v>0.0732108597285066</v>
      </c>
      <c r="M19" s="9" t="s">
        <v>50</v>
      </c>
      <c r="N19" s="4" t="n">
        <v>0.20969999</v>
      </c>
      <c r="O19" s="3" t="n">
        <v>1185.898</v>
      </c>
      <c r="P19" s="3" t="n">
        <v>1052.896</v>
      </c>
      <c r="Q19" s="3" t="n">
        <v>1058.903</v>
      </c>
      <c r="R19" s="3" t="n">
        <v>964.453</v>
      </c>
      <c r="S19" s="3" t="n">
        <v>861.002</v>
      </c>
      <c r="T19" s="3" t="n">
        <v>63.155</v>
      </c>
      <c r="U19" s="3" t="n">
        <v>19.939</v>
      </c>
      <c r="V19" s="3" t="n">
        <v>87.198</v>
      </c>
      <c r="W19" s="3" t="n">
        <v>53.918</v>
      </c>
      <c r="X19" s="3" t="n">
        <v>4.871</v>
      </c>
      <c r="Y19" s="4" t="n">
        <f aca="false">IF(AND(ISNUMBER(O19),ISNUMBER(S19),S19&lt;&gt;0),O19/S19-1,"")</f>
        <v>0.377346394085031</v>
      </c>
      <c r="Z19" s="4" t="n">
        <v>11.9655101621844</v>
      </c>
      <c r="AA19" s="4" t="n">
        <f aca="false">IF(AND(ISNUMBER(O19),ISNUMBER(P19),P19&lt;&gt;0),O19/P19-1,"")</f>
        <v>0.126320168373705</v>
      </c>
      <c r="AB19" s="4" t="n">
        <f aca="false">IF(AND(ISNUMBER(P19),ISNUMBER(Q19),Q19&lt;&gt;0),P19/Q19-1,"")</f>
        <v>-0.00567285199871948</v>
      </c>
      <c r="AC19" s="4" t="n">
        <f aca="false">IF(AND(ISNUMBER(Q19),ISNUMBER(R19),R19&lt;&gt;0),Q19/R19-1,"")</f>
        <v>0.097931158905618</v>
      </c>
      <c r="AD19" s="4" t="n">
        <f aca="false">IF(AND(ISNUMBER(R19),ISNUMBER(S19),S19&lt;&gt;0),R19/S19-1,"")</f>
        <v>0.120151869565925</v>
      </c>
      <c r="AE19" s="6" t="n">
        <v>83.4700012207031</v>
      </c>
      <c r="AF19" s="6" t="n">
        <v>121.879997253418</v>
      </c>
      <c r="AG19" s="4" t="n">
        <f aca="false">IF(AND(ISNUMBER(AE19),ISNUMBER(AF19)),AF19/AE19-1,"")</f>
        <v>0.46016527460153</v>
      </c>
      <c r="AH19" s="7" t="n">
        <v>169.11644</v>
      </c>
      <c r="AI19" s="7" t="n">
        <v>34.77733</v>
      </c>
      <c r="AJ19" s="5" t="s">
        <v>134</v>
      </c>
      <c r="AK19" s="8" t="s">
        <v>45</v>
      </c>
    </row>
    <row r="20" customFormat="false" ht="15" hidden="false" customHeight="false" outlineLevel="0" collapsed="false">
      <c r="A20" s="0" t="s">
        <v>135</v>
      </c>
      <c r="B20" s="0" t="s">
        <v>136</v>
      </c>
      <c r="C20" s="0" t="s">
        <v>39</v>
      </c>
      <c r="D20" s="9" t="s">
        <v>137</v>
      </c>
      <c r="E20" s="0" t="s">
        <v>56</v>
      </c>
      <c r="F20" s="0" t="s">
        <v>101</v>
      </c>
      <c r="G20" s="3" t="n">
        <v>235</v>
      </c>
      <c r="H20" s="3" t="n">
        <v>245</v>
      </c>
      <c r="I20" s="3" t="n">
        <v>240</v>
      </c>
      <c r="J20" s="3" t="n">
        <v>258.242</v>
      </c>
      <c r="K20" s="4" t="n">
        <f aca="false">J20/I20-1</f>
        <v>0.0760083333333335</v>
      </c>
      <c r="L20" s="4" t="n">
        <f aca="false">J20/H20-1</f>
        <v>0.0540489795918369</v>
      </c>
      <c r="M20" s="5" t="s">
        <v>43</v>
      </c>
      <c r="N20" s="4" t="n">
        <v>0.3443</v>
      </c>
      <c r="O20" s="3" t="n">
        <v>258.242</v>
      </c>
      <c r="P20" s="3" t="n">
        <v>226.144</v>
      </c>
      <c r="Q20" s="3" t="n">
        <v>215.163</v>
      </c>
      <c r="R20" s="3" t="n">
        <v>202.676</v>
      </c>
      <c r="S20" s="3" t="n">
        <v>195.798</v>
      </c>
      <c r="T20" s="3" t="n">
        <v>62.658</v>
      </c>
      <c r="U20" s="3" t="n">
        <v>23.722</v>
      </c>
      <c r="V20" s="3" t="n">
        <v>25.194</v>
      </c>
      <c r="W20" s="3" t="n">
        <v>18.969</v>
      </c>
      <c r="X20" s="3" t="n">
        <v>12.663</v>
      </c>
      <c r="Y20" s="4" t="n">
        <f aca="false">IF(AND(ISNUMBER(O20),ISNUMBER(S20),S20&lt;&gt;0),O20/S20-1,"")</f>
        <v>0.318920520127887</v>
      </c>
      <c r="Z20" s="4" t="n">
        <v>3.94811656005686</v>
      </c>
      <c r="AA20" s="4" t="n">
        <f aca="false">IF(AND(ISNUMBER(O20),ISNUMBER(P20),P20&lt;&gt;0),O20/P20-1,"")</f>
        <v>0.141936111504174</v>
      </c>
      <c r="AB20" s="4" t="n">
        <f aca="false">IF(AND(ISNUMBER(P20),ISNUMBER(Q20),Q20&lt;&gt;0),P20/Q20-1,"")</f>
        <v>0.0510357264027737</v>
      </c>
      <c r="AC20" s="4" t="n">
        <f aca="false">IF(AND(ISNUMBER(Q20),ISNUMBER(R20),R20&lt;&gt;0),Q20/R20-1,"")</f>
        <v>0.0616106495095621</v>
      </c>
      <c r="AD20" s="4" t="n">
        <f aca="false">IF(AND(ISNUMBER(R20),ISNUMBER(S20),S20&lt;&gt;0),R20/S20-1,"")</f>
        <v>0.0351280401229839</v>
      </c>
      <c r="AE20" s="6" t="n">
        <v>35.5999984741211</v>
      </c>
      <c r="AF20" s="6" t="n">
        <v>129.039993286133</v>
      </c>
      <c r="AG20" s="4" t="n">
        <f aca="false">IF(AND(ISNUMBER(AE20),ISNUMBER(AF20)),AF20/AE20-1,"")</f>
        <v>2.62471906789369</v>
      </c>
      <c r="AH20" s="7" t="n">
        <v>91.47569</v>
      </c>
      <c r="AI20" s="7" t="n">
        <v>37.15797</v>
      </c>
      <c r="AJ20" s="5" t="s">
        <v>138</v>
      </c>
      <c r="AK20" s="8" t="s">
        <v>45</v>
      </c>
    </row>
    <row r="21" customFormat="false" ht="15" hidden="false" customHeight="false" outlineLevel="0" collapsed="false">
      <c r="A21" s="0" t="s">
        <v>139</v>
      </c>
      <c r="B21" s="0" t="s">
        <v>140</v>
      </c>
      <c r="C21" s="0" t="s">
        <v>39</v>
      </c>
      <c r="D21" s="9" t="s">
        <v>141</v>
      </c>
      <c r="E21" s="0" t="s">
        <v>56</v>
      </c>
      <c r="F21" s="0" t="s">
        <v>142</v>
      </c>
      <c r="G21" s="3" t="n">
        <v>1797</v>
      </c>
      <c r="H21" s="3" t="n">
        <v>1801</v>
      </c>
      <c r="I21" s="3" t="n">
        <v>1799</v>
      </c>
      <c r="J21" s="3" t="n">
        <v>1935.464</v>
      </c>
      <c r="K21" s="4" t="n">
        <f aca="false">J21/I21-1</f>
        <v>0.0758554752640355</v>
      </c>
      <c r="L21" s="4" t="n">
        <f aca="false">J21/H21-1</f>
        <v>0.0746607440310938</v>
      </c>
      <c r="M21" s="9" t="s">
        <v>50</v>
      </c>
      <c r="N21" s="4" t="n">
        <v>0.1851</v>
      </c>
      <c r="O21" s="3" t="n">
        <v>1935.464</v>
      </c>
      <c r="P21" s="3" t="n">
        <v>1632.583</v>
      </c>
      <c r="Q21" s="3" t="n">
        <v>1406.802</v>
      </c>
      <c r="R21" s="3" t="n">
        <v>1181.092</v>
      </c>
      <c r="S21" s="3" t="n">
        <v>1003.697</v>
      </c>
      <c r="T21" s="3" t="n">
        <v>912.004</v>
      </c>
      <c r="U21" s="3" t="n">
        <v>753.998</v>
      </c>
      <c r="V21" s="3" t="n">
        <v>575.394</v>
      </c>
      <c r="W21" s="3" t="n">
        <v>393.256</v>
      </c>
      <c r="X21" s="3" t="n">
        <v>269.317</v>
      </c>
      <c r="Y21" s="4" t="n">
        <f aca="false">IF(AND(ISNUMBER(O21),ISNUMBER(S21),S21&lt;&gt;0),O21/S21-1,"")</f>
        <v>0.928334945705726</v>
      </c>
      <c r="Z21" s="4" t="n">
        <v>2.38635882621595</v>
      </c>
      <c r="AA21" s="4" t="n">
        <f aca="false">IF(AND(ISNUMBER(O21),ISNUMBER(P21),P21&lt;&gt;0),O21/P21-1,"")</f>
        <v>0.185522573737446</v>
      </c>
      <c r="AB21" s="4" t="n">
        <f aca="false">IF(AND(ISNUMBER(P21),ISNUMBER(Q21),Q21&lt;&gt;0),P21/Q21-1,"")</f>
        <v>0.160492379169208</v>
      </c>
      <c r="AC21" s="4" t="n">
        <f aca="false">IF(AND(ISNUMBER(Q21),ISNUMBER(R21),R21&lt;&gt;0),Q21/R21-1,"")</f>
        <v>0.191102809941986</v>
      </c>
      <c r="AD21" s="4" t="n">
        <f aca="false">IF(AND(ISNUMBER(R21),ISNUMBER(S21),S21&lt;&gt;0),R21/S21-1,"")</f>
        <v>0.176741586355245</v>
      </c>
      <c r="AE21" s="6" t="n">
        <v>179.119995117188</v>
      </c>
      <c r="AF21" s="6" t="n">
        <v>192.589996337891</v>
      </c>
      <c r="AG21" s="4" t="n">
        <f aca="false">IF(AND(ISNUMBER(AE21),ISNUMBER(AF21)),AF21/AE21-1,"")</f>
        <v>0.0752009914464908</v>
      </c>
      <c r="AH21" s="7" t="n">
        <v>163.52138</v>
      </c>
      <c r="AI21" s="7" t="n">
        <v>82.359375</v>
      </c>
      <c r="AJ21" s="5" t="s">
        <v>143</v>
      </c>
      <c r="AK21" s="8" t="s">
        <v>45</v>
      </c>
    </row>
    <row r="22" customFormat="false" ht="15" hidden="false" customHeight="false" outlineLevel="0" collapsed="false">
      <c r="A22" s="0" t="s">
        <v>144</v>
      </c>
      <c r="B22" s="0" t="s">
        <v>145</v>
      </c>
      <c r="C22" s="0" t="s">
        <v>39</v>
      </c>
      <c r="D22" s="9" t="s">
        <v>146</v>
      </c>
      <c r="E22" s="0" t="s">
        <v>56</v>
      </c>
      <c r="F22" s="0" t="s">
        <v>101</v>
      </c>
      <c r="G22" s="3" t="n">
        <v>8100</v>
      </c>
      <c r="H22" s="3" t="n">
        <v>8200</v>
      </c>
      <c r="I22" s="3" t="n">
        <v>8150</v>
      </c>
      <c r="J22" s="3" t="n">
        <v>8758.1</v>
      </c>
      <c r="K22" s="4" t="n">
        <f aca="false">J22/I22-1</f>
        <v>0.0746134969325154</v>
      </c>
      <c r="L22" s="4" t="n">
        <f aca="false">J22/H22-1</f>
        <v>0.0680609756097563</v>
      </c>
      <c r="M22" s="9" t="s">
        <v>50</v>
      </c>
      <c r="N22" s="4" t="n">
        <v>0.1319</v>
      </c>
      <c r="O22" s="3" t="n">
        <v>8758.1</v>
      </c>
      <c r="P22" s="3" t="n">
        <v>7620.1</v>
      </c>
      <c r="Q22" s="3" t="n">
        <v>6439</v>
      </c>
      <c r="R22" s="3" t="n">
        <v>6194.4</v>
      </c>
      <c r="S22" s="3" t="n">
        <v>5650.3</v>
      </c>
      <c r="T22" s="3" t="n">
        <v>2584.6</v>
      </c>
      <c r="U22" s="3" t="n">
        <v>1831.8</v>
      </c>
      <c r="V22" s="3" t="n">
        <v>1722.7</v>
      </c>
      <c r="W22" s="3" t="n">
        <v>1702.3</v>
      </c>
      <c r="X22" s="3" t="n">
        <v>1418.8</v>
      </c>
      <c r="Y22" s="4" t="n">
        <f aca="false">IF(AND(ISNUMBER(O22),ISNUMBER(S22),S22&lt;&gt;0),O22/S22-1,"")</f>
        <v>0.550023892536679</v>
      </c>
      <c r="Z22" s="4" t="n">
        <v>0.821680293205526</v>
      </c>
      <c r="AA22" s="4" t="n">
        <f aca="false">IF(AND(ISNUMBER(O22),ISNUMBER(P22),P22&lt;&gt;0),O22/P22-1,"")</f>
        <v>0.149341872153909</v>
      </c>
      <c r="AB22" s="4" t="n">
        <f aca="false">IF(AND(ISNUMBER(P22),ISNUMBER(Q22),Q22&lt;&gt;0),P22/Q22-1,"")</f>
        <v>0.183429103898121</v>
      </c>
      <c r="AC22" s="4" t="n">
        <f aca="false">IF(AND(ISNUMBER(Q22),ISNUMBER(R22),R22&lt;&gt;0),Q22/R22-1,"")</f>
        <v>0.039487278832494</v>
      </c>
      <c r="AD22" s="4" t="n">
        <f aca="false">IF(AND(ISNUMBER(R22),ISNUMBER(S22),S22&lt;&gt;0),R22/S22-1,"")</f>
        <v>0.0962957719059163</v>
      </c>
      <c r="AE22" s="6" t="n">
        <v>61.1650009155273</v>
      </c>
      <c r="AF22" s="6" t="n">
        <v>83.0800018310547</v>
      </c>
      <c r="AG22" s="4" t="n">
        <f aca="false">IF(AND(ISNUMBER(AE22),ISNUMBER(AF22)),AF22/AE22-1,"")</f>
        <v>0.358293151107663</v>
      </c>
      <c r="AH22" s="7" t="n">
        <v>42.1925</v>
      </c>
      <c r="AI22" s="7" t="n">
        <v>25.724861</v>
      </c>
      <c r="AJ22" s="5" t="s">
        <v>147</v>
      </c>
      <c r="AK22" s="8" t="s">
        <v>45</v>
      </c>
    </row>
    <row r="23" customFormat="false" ht="15" hidden="false" customHeight="false" outlineLevel="0" collapsed="false">
      <c r="A23" s="0" t="s">
        <v>148</v>
      </c>
      <c r="B23" s="0" t="s">
        <v>149</v>
      </c>
      <c r="C23" s="0" t="s">
        <v>39</v>
      </c>
      <c r="D23" s="9" t="s">
        <v>150</v>
      </c>
      <c r="E23" s="0" t="s">
        <v>56</v>
      </c>
      <c r="F23" s="0" t="s">
        <v>151</v>
      </c>
      <c r="G23" s="3" t="n">
        <v>505</v>
      </c>
      <c r="H23" s="3" t="n">
        <v>515</v>
      </c>
      <c r="I23" s="3" t="n">
        <v>510</v>
      </c>
      <c r="J23" s="3" t="n">
        <v>546.468</v>
      </c>
      <c r="K23" s="4" t="n">
        <f aca="false">J23/I23-1</f>
        <v>0.0715058823529411</v>
      </c>
      <c r="L23" s="4" t="n">
        <f aca="false">J23/H23-1</f>
        <v>0.0611029126213591</v>
      </c>
      <c r="M23" s="9" t="s">
        <v>50</v>
      </c>
      <c r="N23" s="4" t="n">
        <v>0.1241</v>
      </c>
      <c r="O23" s="3" t="n">
        <v>546.468</v>
      </c>
      <c r="P23" s="3" t="n">
        <v>508.238</v>
      </c>
      <c r="Q23" s="3" t="n">
        <v>503.089</v>
      </c>
      <c r="R23" s="3" t="n">
        <v>470.615</v>
      </c>
      <c r="S23" s="3" t="n">
        <v>440.944</v>
      </c>
      <c r="T23" s="3" t="n">
        <v>-32.219</v>
      </c>
      <c r="U23" s="3" t="n">
        <v>-351.413</v>
      </c>
      <c r="V23" s="3" t="n">
        <v>-106.51</v>
      </c>
      <c r="W23" s="3" t="n">
        <v>-125.856</v>
      </c>
      <c r="X23" s="3" t="n">
        <v>-118.752</v>
      </c>
      <c r="Y23" s="4" t="n">
        <f aca="false">IF(AND(ISNUMBER(O23),ISNUMBER(S23),S23&lt;&gt;0),O23/S23-1,"")</f>
        <v>0.239313835770528</v>
      </c>
      <c r="Z23" s="11" t="s">
        <v>91</v>
      </c>
      <c r="AA23" s="4" t="n">
        <f aca="false">IF(AND(ISNUMBER(O23),ISNUMBER(P23),P23&lt;&gt;0),O23/P23-1,"")</f>
        <v>0.075220664334426</v>
      </c>
      <c r="AB23" s="4" t="n">
        <f aca="false">IF(AND(ISNUMBER(P23),ISNUMBER(Q23),Q23&lt;&gt;0),P23/Q23-1,"")</f>
        <v>0.0102347695934517</v>
      </c>
      <c r="AC23" s="4" t="n">
        <f aca="false">IF(AND(ISNUMBER(Q23),ISNUMBER(R23),R23&lt;&gt;0),Q23/R23-1,"")</f>
        <v>0.0690033254358657</v>
      </c>
      <c r="AD23" s="4" t="n">
        <f aca="false">IF(AND(ISNUMBER(R23),ISNUMBER(S23),S23&lt;&gt;0),R23/S23-1,"")</f>
        <v>0.067289723865162</v>
      </c>
      <c r="AE23" s="6" t="n">
        <v>42.1100006103516</v>
      </c>
      <c r="AF23" s="6" t="n">
        <v>41.4199981689453</v>
      </c>
      <c r="AG23" s="4" t="n">
        <f aca="false">IF(AND(ISNUMBER(AE23),ISNUMBER(AF23)),AF23/AE23-1,"")</f>
        <v>-0.0163857143530088</v>
      </c>
      <c r="AH23" s="7"/>
      <c r="AI23" s="7" t="n">
        <v>24.05296</v>
      </c>
      <c r="AJ23" s="5" t="s">
        <v>152</v>
      </c>
      <c r="AK23" s="8" t="s">
        <v>45</v>
      </c>
    </row>
    <row r="24" customFormat="false" ht="15" hidden="false" customHeight="false" outlineLevel="0" collapsed="false">
      <c r="A24" s="0" t="s">
        <v>153</v>
      </c>
      <c r="B24" s="0" t="s">
        <v>154</v>
      </c>
      <c r="C24" s="0" t="s">
        <v>39</v>
      </c>
      <c r="D24" s="9" t="s">
        <v>155</v>
      </c>
      <c r="E24" s="0" t="s">
        <v>56</v>
      </c>
      <c r="F24" s="0" t="s">
        <v>151</v>
      </c>
      <c r="G24" s="3" t="n">
        <v>1653</v>
      </c>
      <c r="H24" s="3" t="n">
        <v>1661</v>
      </c>
      <c r="I24" s="3" t="n">
        <v>1657</v>
      </c>
      <c r="J24" s="3" t="n">
        <v>1766.469</v>
      </c>
      <c r="K24" s="4" t="n">
        <f aca="false">J24/I24-1</f>
        <v>0.0660645745322872</v>
      </c>
      <c r="L24" s="4" t="n">
        <f aca="false">J24/H24-1</f>
        <v>0.0634972907886815</v>
      </c>
      <c r="M24" s="9" t="s">
        <v>50</v>
      </c>
      <c r="N24" s="4" t="n">
        <v>0.24520001</v>
      </c>
      <c r="O24" s="3" t="n">
        <v>1766.469</v>
      </c>
      <c r="P24" s="3" t="n">
        <v>1786.971</v>
      </c>
      <c r="Q24" s="3" t="n">
        <v>1586.315</v>
      </c>
      <c r="R24" s="3" t="n">
        <v>1432.553</v>
      </c>
      <c r="S24" s="3" t="n">
        <v>1384.344</v>
      </c>
      <c r="T24" s="3" t="n">
        <v>210.723</v>
      </c>
      <c r="U24" s="3" t="n">
        <v>-56.284</v>
      </c>
      <c r="V24" s="3" t="n">
        <v>-47.747</v>
      </c>
      <c r="W24" s="3" t="n">
        <v>-96.337</v>
      </c>
      <c r="X24" s="3" t="n">
        <v>-28.479</v>
      </c>
      <c r="Y24" s="4" t="n">
        <f aca="false">IF(AND(ISNUMBER(O24),ISNUMBER(S24),S24&lt;&gt;0),O24/S24-1,"")</f>
        <v>0.276033269187427</v>
      </c>
      <c r="Z24" s="10" t="s">
        <v>64</v>
      </c>
      <c r="AA24" s="4" t="n">
        <f aca="false">IF(AND(ISNUMBER(O24),ISNUMBER(P24),P24&lt;&gt;0),O24/P24-1,"")</f>
        <v>-0.0114730457293375</v>
      </c>
      <c r="AB24" s="4" t="n">
        <f aca="false">IF(AND(ISNUMBER(P24),ISNUMBER(Q24),Q24&lt;&gt;0),P24/Q24-1,"")</f>
        <v>0.126491901041092</v>
      </c>
      <c r="AC24" s="4" t="n">
        <f aca="false">IF(AND(ISNUMBER(Q24),ISNUMBER(R24),R24&lt;&gt;0),Q24/R24-1,"")</f>
        <v>0.107334248715405</v>
      </c>
      <c r="AD24" s="4" t="n">
        <f aca="false">IF(AND(ISNUMBER(R24),ISNUMBER(S24),S24&lt;&gt;0),R24/S24-1,"")</f>
        <v>0.0348244367007045</v>
      </c>
      <c r="AE24" s="6" t="n">
        <v>162.419998168945</v>
      </c>
      <c r="AF24" s="6" t="n">
        <v>192.610000610352</v>
      </c>
      <c r="AG24" s="4" t="n">
        <f aca="false">IF(AND(ISNUMBER(AE24),ISNUMBER(AF24)),AF24/AE24-1,"")</f>
        <v>0.185876140757023</v>
      </c>
      <c r="AH24" s="7"/>
      <c r="AI24" s="7" t="n">
        <v>28.56833</v>
      </c>
      <c r="AJ24" s="5" t="s">
        <v>156</v>
      </c>
      <c r="AK24" s="8" t="s">
        <v>45</v>
      </c>
    </row>
    <row r="25" customFormat="false" ht="15" hidden="false" customHeight="false" outlineLevel="0" collapsed="false">
      <c r="A25" s="0" t="s">
        <v>157</v>
      </c>
      <c r="B25" s="0" t="s">
        <v>158</v>
      </c>
      <c r="C25" s="0" t="s">
        <v>39</v>
      </c>
      <c r="D25" s="9" t="s">
        <v>159</v>
      </c>
      <c r="E25" s="0" t="s">
        <v>56</v>
      </c>
      <c r="F25" s="0" t="s">
        <v>57</v>
      </c>
      <c r="G25" s="3" t="n">
        <v>815</v>
      </c>
      <c r="H25" s="3" t="n">
        <v>845</v>
      </c>
      <c r="I25" s="3" t="n">
        <v>830</v>
      </c>
      <c r="J25" s="3" t="n">
        <v>883.2</v>
      </c>
      <c r="K25" s="4" t="n">
        <f aca="false">J25/I25-1</f>
        <v>0.0640963855421688</v>
      </c>
      <c r="L25" s="4" t="n">
        <f aca="false">J25/H25-1</f>
        <v>0.0452071005917161</v>
      </c>
      <c r="M25" s="9" t="s">
        <v>50</v>
      </c>
      <c r="N25" s="4" t="n">
        <v>0.1321</v>
      </c>
      <c r="O25" s="3" t="n">
        <v>883.2</v>
      </c>
      <c r="P25" s="3" t="n">
        <v>811.9</v>
      </c>
      <c r="Q25" s="3" t="n">
        <v>823.9</v>
      </c>
      <c r="R25" s="3" t="n">
        <v>807.1</v>
      </c>
      <c r="S25" s="3" t="n">
        <v>792.4</v>
      </c>
      <c r="T25" s="3" t="n">
        <v>159.8</v>
      </c>
      <c r="U25" s="3" t="n">
        <v>141.6</v>
      </c>
      <c r="V25" s="3" t="n">
        <v>569.5</v>
      </c>
      <c r="W25" s="3" t="n">
        <v>123</v>
      </c>
      <c r="X25" s="3" t="n">
        <v>106.1</v>
      </c>
      <c r="Y25" s="4" t="n">
        <f aca="false">IF(AND(ISNUMBER(O25),ISNUMBER(S25),S25&lt;&gt;0),O25/S25-1,"")</f>
        <v>0.114588591620394</v>
      </c>
      <c r="Z25" s="4" t="n">
        <v>0.50612629594722</v>
      </c>
      <c r="AA25" s="4" t="n">
        <f aca="false">IF(AND(ISNUMBER(O25),ISNUMBER(P25),P25&lt;&gt;0),O25/P25-1,"")</f>
        <v>0.0878186968838528</v>
      </c>
      <c r="AB25" s="4" t="n">
        <f aca="false">IF(AND(ISNUMBER(P25),ISNUMBER(Q25),Q25&lt;&gt;0),P25/Q25-1,"")</f>
        <v>-0.0145648743779585</v>
      </c>
      <c r="AC25" s="4" t="n">
        <f aca="false">IF(AND(ISNUMBER(Q25),ISNUMBER(R25),R25&lt;&gt;0),Q25/R25-1,"")</f>
        <v>0.0208152645273201</v>
      </c>
      <c r="AD25" s="4" t="n">
        <f aca="false">IF(AND(ISNUMBER(R25),ISNUMBER(S25),S25&lt;&gt;0),R25/S25-1,"")</f>
        <v>0.0185512367491167</v>
      </c>
      <c r="AE25" s="6" t="n">
        <v>91.9400024414063</v>
      </c>
      <c r="AF25" s="6" t="n">
        <v>148.630004882813</v>
      </c>
      <c r="AG25" s="4" t="n">
        <f aca="false">IF(AND(ISNUMBER(AE25),ISNUMBER(AF25)),AF25/AE25-1,"")</f>
        <v>0.616597791342621</v>
      </c>
      <c r="AH25" s="7" t="n">
        <v>75.76119</v>
      </c>
      <c r="AI25" s="7" t="n">
        <v>30.36091</v>
      </c>
      <c r="AJ25" s="5" t="s">
        <v>160</v>
      </c>
      <c r="AK25" s="8" t="s">
        <v>45</v>
      </c>
    </row>
    <row r="26" customFormat="false" ht="15" hidden="false" customHeight="false" outlineLevel="0" collapsed="false">
      <c r="A26" s="0" t="s">
        <v>161</v>
      </c>
      <c r="B26" s="0" t="s">
        <v>162</v>
      </c>
      <c r="C26" s="0" t="s">
        <v>39</v>
      </c>
      <c r="D26" s="9" t="s">
        <v>163</v>
      </c>
      <c r="E26" s="0" t="s">
        <v>56</v>
      </c>
      <c r="F26" s="0" t="s">
        <v>142</v>
      </c>
      <c r="G26" s="3" t="n">
        <v>520</v>
      </c>
      <c r="H26" s="3" t="n">
        <v>560</v>
      </c>
      <c r="I26" s="3" t="n">
        <v>540</v>
      </c>
      <c r="J26" s="3" t="n">
        <v>574.1</v>
      </c>
      <c r="K26" s="4" t="n">
        <f aca="false">J26/I26-1</f>
        <v>0.0631481481481482</v>
      </c>
      <c r="L26" s="4" t="n">
        <f aca="false">J26/H26-1</f>
        <v>0.0251785714285715</v>
      </c>
      <c r="M26" s="5" t="s">
        <v>43</v>
      </c>
      <c r="N26" s="4" t="n">
        <v>0.23799999</v>
      </c>
      <c r="O26" s="3" t="n">
        <v>574.1</v>
      </c>
      <c r="P26" s="3" t="n">
        <v>511</v>
      </c>
      <c r="Q26" s="3" t="n">
        <v>489.4</v>
      </c>
      <c r="R26" s="3" t="n">
        <v>463.3</v>
      </c>
      <c r="S26" s="3" t="n">
        <v>441.5</v>
      </c>
      <c r="T26" s="3" t="n">
        <v>95.1</v>
      </c>
      <c r="U26" s="3" t="n">
        <v>68.3</v>
      </c>
      <c r="V26" s="3" t="n">
        <v>56.6</v>
      </c>
      <c r="W26" s="3" t="n">
        <v>49.2</v>
      </c>
      <c r="X26" s="3" t="n">
        <v>31.6</v>
      </c>
      <c r="Y26" s="4" t="n">
        <f aca="false">IF(AND(ISNUMBER(O26),ISNUMBER(S26),S26&lt;&gt;0),O26/S26-1,"")</f>
        <v>0.300339750849377</v>
      </c>
      <c r="Z26" s="4" t="n">
        <v>2.00949367088608</v>
      </c>
      <c r="AA26" s="4" t="n">
        <f aca="false">IF(AND(ISNUMBER(O26),ISNUMBER(P26),P26&lt;&gt;0),O26/P26-1,"")</f>
        <v>0.123483365949119</v>
      </c>
      <c r="AB26" s="4" t="n">
        <f aca="false">IF(AND(ISNUMBER(P26),ISNUMBER(Q26),Q26&lt;&gt;0),P26/Q26-1,"")</f>
        <v>0.0441356763383736</v>
      </c>
      <c r="AC26" s="4" t="n">
        <f aca="false">IF(AND(ISNUMBER(Q26),ISNUMBER(R26),R26&lt;&gt;0),Q26/R26-1,"")</f>
        <v>0.0563349881286424</v>
      </c>
      <c r="AD26" s="4" t="n">
        <f aca="false">IF(AND(ISNUMBER(R26),ISNUMBER(S26),S26&lt;&gt;0),R26/S26-1,"")</f>
        <v>0.0493771234428086</v>
      </c>
      <c r="AE26" s="6" t="n">
        <v>167.350006103516</v>
      </c>
      <c r="AF26" s="6" t="n">
        <v>278.029998779297</v>
      </c>
      <c r="AG26" s="4" t="n">
        <f aca="false">IF(AND(ISNUMBER(AE26),ISNUMBER(AF26)),AF26/AE26-1,"")</f>
        <v>0.661368321715622</v>
      </c>
      <c r="AH26" s="7" t="n">
        <v>52.740738</v>
      </c>
      <c r="AI26" s="7" t="n">
        <v>18.566166</v>
      </c>
      <c r="AJ26" s="5" t="s">
        <v>164</v>
      </c>
      <c r="AK26" s="8" t="s">
        <v>45</v>
      </c>
    </row>
    <row r="27" customFormat="false" ht="15" hidden="false" customHeight="false" outlineLevel="0" collapsed="false">
      <c r="A27" s="0" t="s">
        <v>165</v>
      </c>
      <c r="B27" s="0" t="s">
        <v>166</v>
      </c>
      <c r="C27" s="0" t="s">
        <v>105</v>
      </c>
      <c r="D27" s="9" t="s">
        <v>167</v>
      </c>
      <c r="E27" s="0" t="s">
        <v>56</v>
      </c>
      <c r="F27" s="0" t="s">
        <v>80</v>
      </c>
      <c r="G27" s="3" t="n">
        <v>1060</v>
      </c>
      <c r="H27" s="3" t="n">
        <v>1100</v>
      </c>
      <c r="I27" s="3" t="n">
        <v>1080</v>
      </c>
      <c r="J27" s="3" t="n">
        <v>1148</v>
      </c>
      <c r="K27" s="4" t="n">
        <f aca="false">J27/I27-1</f>
        <v>0.0629629629629629</v>
      </c>
      <c r="L27" s="4" t="n">
        <f aca="false">J27/H27-1</f>
        <v>0.0436363636363637</v>
      </c>
      <c r="M27" s="9" t="s">
        <v>50</v>
      </c>
      <c r="N27" s="4" t="n">
        <v>0.1375</v>
      </c>
      <c r="O27" s="3" t="n">
        <v>1148</v>
      </c>
      <c r="P27" s="3" t="n">
        <v>992</v>
      </c>
      <c r="Q27" s="3" t="n">
        <v>987</v>
      </c>
      <c r="R27" s="3" t="n">
        <v>969</v>
      </c>
      <c r="S27" s="3" t="n">
        <v>1033</v>
      </c>
      <c r="T27" s="3" t="n">
        <v>222</v>
      </c>
      <c r="U27" s="3" t="n">
        <v>181</v>
      </c>
      <c r="V27" s="3" t="n">
        <v>119</v>
      </c>
      <c r="W27" s="3" t="n">
        <v>171</v>
      </c>
      <c r="X27" s="3" t="n">
        <v>233</v>
      </c>
      <c r="Y27" s="4" t="n">
        <f aca="false">IF(AND(ISNUMBER(O27),ISNUMBER(S27),S27&lt;&gt;0),O27/S27-1,"")</f>
        <v>0.111326234269119</v>
      </c>
      <c r="Z27" s="4" t="n">
        <v>-0.0472103004291845</v>
      </c>
      <c r="AA27" s="4" t="n">
        <f aca="false">IF(AND(ISNUMBER(O27),ISNUMBER(P27),P27&lt;&gt;0),O27/P27-1,"")</f>
        <v>0.157258064516129</v>
      </c>
      <c r="AB27" s="4" t="n">
        <f aca="false">IF(AND(ISNUMBER(P27),ISNUMBER(Q27),Q27&lt;&gt;0),P27/Q27-1,"")</f>
        <v>0.00506585612968591</v>
      </c>
      <c r="AC27" s="4" t="n">
        <f aca="false">IF(AND(ISNUMBER(Q27),ISNUMBER(R27),R27&lt;&gt;0),Q27/R27-1,"")</f>
        <v>0.0185758513931888</v>
      </c>
      <c r="AD27" s="4" t="n">
        <f aca="false">IF(AND(ISNUMBER(R27),ISNUMBER(S27),S27&lt;&gt;0),R27/S27-1,"")</f>
        <v>-0.0619554695062924</v>
      </c>
      <c r="AE27" s="6"/>
      <c r="AF27" s="6"/>
      <c r="AG27" s="4" t="str">
        <f aca="false">IF(AND(ISNUMBER(AE27),ISNUMBER(AF27)),AF27/AE27-1,"")</f>
        <v/>
      </c>
      <c r="AH27" s="7" t="n">
        <v>42.700756</v>
      </c>
      <c r="AI27" s="7" t="n">
        <v>16.70371</v>
      </c>
      <c r="AJ27" s="5" t="s">
        <v>168</v>
      </c>
      <c r="AK27" s="8" t="s">
        <v>45</v>
      </c>
    </row>
    <row r="28" customFormat="false" ht="15" hidden="false" customHeight="false" outlineLevel="0" collapsed="false">
      <c r="A28" s="0" t="s">
        <v>169</v>
      </c>
      <c r="B28" s="0" t="s">
        <v>170</v>
      </c>
      <c r="C28" s="0" t="s">
        <v>39</v>
      </c>
      <c r="D28" s="9" t="s">
        <v>171</v>
      </c>
      <c r="E28" s="0" t="s">
        <v>89</v>
      </c>
      <c r="F28" s="0" t="s">
        <v>172</v>
      </c>
      <c r="G28" s="3" t="n">
        <v>1730</v>
      </c>
      <c r="H28" s="3" t="n">
        <v>1750</v>
      </c>
      <c r="I28" s="3" t="n">
        <v>1740</v>
      </c>
      <c r="J28" s="3" t="n">
        <v>1846</v>
      </c>
      <c r="K28" s="4" t="n">
        <f aca="false">J28/I28-1</f>
        <v>0.060919540229885</v>
      </c>
      <c r="L28" s="4" t="n">
        <f aca="false">J28/H28-1</f>
        <v>0.0548571428571429</v>
      </c>
      <c r="M28" s="9" t="s">
        <v>50</v>
      </c>
      <c r="N28" s="4" t="n">
        <v>0.2369</v>
      </c>
      <c r="O28" s="3" t="n">
        <v>1846</v>
      </c>
      <c r="P28" s="3" t="n">
        <v>1717</v>
      </c>
      <c r="Q28" s="3" t="n">
        <v>1600</v>
      </c>
      <c r="R28" s="3" t="n">
        <v>1419</v>
      </c>
      <c r="S28" s="3" t="n">
        <v>1352</v>
      </c>
      <c r="T28" s="3" t="n">
        <v>461</v>
      </c>
      <c r="U28" s="3" t="n">
        <v>407</v>
      </c>
      <c r="V28" s="3" t="n">
        <v>248</v>
      </c>
      <c r="W28" s="3" t="n">
        <v>217</v>
      </c>
      <c r="X28" s="3" t="n">
        <v>234</v>
      </c>
      <c r="Y28" s="4" t="n">
        <f aca="false">IF(AND(ISNUMBER(O28),ISNUMBER(S28),S28&lt;&gt;0),O28/S28-1,"")</f>
        <v>0.365384615384615</v>
      </c>
      <c r="Z28" s="4" t="n">
        <v>0.97008547008547</v>
      </c>
      <c r="AA28" s="4" t="n">
        <f aca="false">IF(AND(ISNUMBER(O28),ISNUMBER(P28),P28&lt;&gt;0),O28/P28-1,"")</f>
        <v>0.0751310425160163</v>
      </c>
      <c r="AB28" s="4" t="n">
        <f aca="false">IF(AND(ISNUMBER(P28),ISNUMBER(Q28),Q28&lt;&gt;0),P28/Q28-1,"")</f>
        <v>0.0731250000000001</v>
      </c>
      <c r="AC28" s="4" t="n">
        <f aca="false">IF(AND(ISNUMBER(Q28),ISNUMBER(R28),R28&lt;&gt;0),Q28/R28-1,"")</f>
        <v>0.127554615926709</v>
      </c>
      <c r="AD28" s="4" t="n">
        <f aca="false">IF(AND(ISNUMBER(R28),ISNUMBER(S28),S28&lt;&gt;0),R28/S28-1,"")</f>
        <v>0.0495562130177514</v>
      </c>
      <c r="AE28" s="6" t="n">
        <v>172.330001831055</v>
      </c>
      <c r="AF28" s="6" t="n">
        <v>357.540008544922</v>
      </c>
      <c r="AG28" s="4" t="n">
        <f aca="false">IF(AND(ISNUMBER(AE28),ISNUMBER(AF28)),AF28/AE28-1,"")</f>
        <v>1.07474035133731</v>
      </c>
      <c r="AH28" s="7" t="n">
        <v>49.055405</v>
      </c>
      <c r="AI28" s="7" t="n">
        <v>26.169353</v>
      </c>
      <c r="AJ28" s="5" t="s">
        <v>173</v>
      </c>
      <c r="AK28" s="8" t="s">
        <v>45</v>
      </c>
    </row>
    <row r="29" customFormat="false" ht="15" hidden="false" customHeight="false" outlineLevel="0" collapsed="false">
      <c r="A29" s="0" t="s">
        <v>174</v>
      </c>
      <c r="B29" s="0" t="s">
        <v>175</v>
      </c>
      <c r="C29" s="0" t="s">
        <v>39</v>
      </c>
      <c r="D29" s="9" t="s">
        <v>176</v>
      </c>
      <c r="E29" s="0" t="s">
        <v>56</v>
      </c>
      <c r="F29" s="0" t="s">
        <v>69</v>
      </c>
      <c r="G29" s="3" t="n">
        <v>348</v>
      </c>
      <c r="H29" s="3" t="n">
        <v>350</v>
      </c>
      <c r="I29" s="3" t="n">
        <v>349</v>
      </c>
      <c r="J29" s="3" t="n">
        <v>370.083</v>
      </c>
      <c r="K29" s="4" t="n">
        <f aca="false">J29/I29-1</f>
        <v>0.060409742120344</v>
      </c>
      <c r="L29" s="4" t="n">
        <f aca="false">J29/H29-1</f>
        <v>0.05738</v>
      </c>
      <c r="M29" s="9" t="s">
        <v>50</v>
      </c>
      <c r="N29" s="4" t="n">
        <v>0.9593</v>
      </c>
      <c r="O29" s="3" t="n">
        <v>370.083</v>
      </c>
      <c r="P29" s="3" t="n">
        <v>333.439</v>
      </c>
      <c r="Q29" s="3" t="n">
        <v>303.776</v>
      </c>
      <c r="R29" s="3" t="n">
        <v>274.173</v>
      </c>
      <c r="S29" s="3" t="n">
        <v>249.64</v>
      </c>
      <c r="T29" s="3" t="n">
        <v>-117.289</v>
      </c>
      <c r="U29" s="3" t="n">
        <v>-137.398</v>
      </c>
      <c r="V29" s="3" t="n">
        <v>-195.502</v>
      </c>
      <c r="W29" s="3" t="n">
        <v>-1136.78</v>
      </c>
      <c r="X29" s="3" t="n">
        <v>2.076</v>
      </c>
      <c r="Y29" s="4" t="n">
        <f aca="false">IF(AND(ISNUMBER(O29),ISNUMBER(S29),S29&lt;&gt;0),O29/S29-1,"")</f>
        <v>0.482466752123057</v>
      </c>
      <c r="Z29" s="10" t="s">
        <v>58</v>
      </c>
      <c r="AA29" s="4" t="n">
        <f aca="false">IF(AND(ISNUMBER(O29),ISNUMBER(P29),P29&lt;&gt;0),O29/P29-1,"")</f>
        <v>0.109897162599456</v>
      </c>
      <c r="AB29" s="4" t="n">
        <f aca="false">IF(AND(ISNUMBER(P29),ISNUMBER(Q29),Q29&lt;&gt;0),P29/Q29-1,"")</f>
        <v>0.0976476087643527</v>
      </c>
      <c r="AC29" s="4" t="n">
        <f aca="false">IF(AND(ISNUMBER(Q29),ISNUMBER(R29),R29&lt;&gt;0),Q29/R29-1,"")</f>
        <v>0.107971973899691</v>
      </c>
      <c r="AD29" s="4" t="n">
        <f aca="false">IF(AND(ISNUMBER(R29),ISNUMBER(S29),S29&lt;&gt;0),R29/S29-1,"")</f>
        <v>0.0982735138599584</v>
      </c>
      <c r="AE29" s="6" t="n">
        <v>54.3899993896484</v>
      </c>
      <c r="AF29" s="6" t="n">
        <v>21.3400001525879</v>
      </c>
      <c r="AG29" s="4" t="n">
        <f aca="false">IF(AND(ISNUMBER(AE29),ISNUMBER(AF29)),AF29/AE29-1,"")</f>
        <v>-0.607648457583007</v>
      </c>
      <c r="AH29" s="7"/>
      <c r="AI29" s="7" t="n">
        <v>60.74286</v>
      </c>
      <c r="AJ29" s="5" t="s">
        <v>177</v>
      </c>
      <c r="AK29" s="8" t="s">
        <v>45</v>
      </c>
    </row>
    <row r="30" customFormat="false" ht="15" hidden="false" customHeight="false" outlineLevel="0" collapsed="false">
      <c r="A30" s="0" t="s">
        <v>178</v>
      </c>
      <c r="B30" s="0" t="s">
        <v>179</v>
      </c>
      <c r="C30" s="0" t="s">
        <v>180</v>
      </c>
      <c r="D30" s="0" t="s">
        <v>181</v>
      </c>
      <c r="E30" s="0" t="s">
        <v>89</v>
      </c>
      <c r="F30" s="0" t="s">
        <v>96</v>
      </c>
      <c r="G30" s="3" t="n">
        <v>1180</v>
      </c>
      <c r="H30" s="3" t="n">
        <v>1200</v>
      </c>
      <c r="I30" s="3" t="n">
        <v>1190</v>
      </c>
      <c r="J30" s="3" t="n">
        <v>1261.493</v>
      </c>
      <c r="K30" s="4" t="n">
        <f aca="false">J30/I30-1</f>
        <v>0.0600781512605042</v>
      </c>
      <c r="L30" s="4" t="n">
        <f aca="false">J30/H30-1</f>
        <v>0.0512441666666665</v>
      </c>
      <c r="M30" s="9" t="s">
        <v>50</v>
      </c>
      <c r="N30" s="4" t="n">
        <v>0.1929</v>
      </c>
      <c r="O30" s="3" t="n">
        <v>1261.493</v>
      </c>
      <c r="P30" s="3" t="n">
        <v>1285.602</v>
      </c>
      <c r="Q30" s="3" t="n">
        <v>1728.48</v>
      </c>
      <c r="R30" s="3" t="n">
        <v>1038.293</v>
      </c>
      <c r="S30" s="3" t="n">
        <v>1026.847</v>
      </c>
      <c r="T30" s="3" t="n">
        <v>275.35</v>
      </c>
      <c r="U30" s="3" t="n">
        <v>154.243</v>
      </c>
      <c r="V30" s="3" t="n">
        <v>310.882</v>
      </c>
      <c r="W30" s="3" t="n">
        <v>43.305</v>
      </c>
      <c r="X30" s="3" t="n">
        <v>52.365</v>
      </c>
      <c r="Y30" s="4" t="n">
        <f aca="false">IF(AND(ISNUMBER(O30),ISNUMBER(S30),S30&lt;&gt;0),O30/S30-1,"")</f>
        <v>0.228511160864277</v>
      </c>
      <c r="Z30" s="4" t="n">
        <v>4.25828320443044</v>
      </c>
      <c r="AA30" s="4" t="n">
        <f aca="false">IF(AND(ISNUMBER(O30),ISNUMBER(P30),P30&lt;&gt;0),O30/P30-1,"")</f>
        <v>-0.0187530822136246</v>
      </c>
      <c r="AB30" s="4" t="n">
        <f aca="false">IF(AND(ISNUMBER(P30),ISNUMBER(Q30),Q30&lt;&gt;0),P30/Q30-1,"")</f>
        <v>-0.256223965565121</v>
      </c>
      <c r="AC30" s="4" t="n">
        <f aca="false">IF(AND(ISNUMBER(Q30),ISNUMBER(R30),R30&lt;&gt;0),Q30/R30-1,"")</f>
        <v>0.664732402125412</v>
      </c>
      <c r="AD30" s="4" t="n">
        <f aca="false">IF(AND(ISNUMBER(R30),ISNUMBER(S30),S30&lt;&gt;0),R30/S30-1,"")</f>
        <v>0.0111467433804646</v>
      </c>
      <c r="AE30" s="6" t="n">
        <v>151.720001220703</v>
      </c>
      <c r="AF30" s="6" t="n">
        <v>222.380004882813</v>
      </c>
      <c r="AG30" s="4" t="n">
        <f aca="false">IF(AND(ISNUMBER(AE30),ISNUMBER(AF30)),AF30/AE30-1,"")</f>
        <v>0.465726358381201</v>
      </c>
      <c r="AH30" s="7" t="n">
        <v>19.675337</v>
      </c>
      <c r="AI30" s="7" t="n">
        <v>19.830065</v>
      </c>
      <c r="AJ30" s="5" t="s">
        <v>182</v>
      </c>
      <c r="AK30" s="8" t="s">
        <v>45</v>
      </c>
    </row>
    <row r="31" customFormat="false" ht="15" hidden="false" customHeight="false" outlineLevel="0" collapsed="false">
      <c r="A31" s="0" t="s">
        <v>183</v>
      </c>
      <c r="B31" s="0" t="s">
        <v>184</v>
      </c>
      <c r="C31" s="0" t="s">
        <v>39</v>
      </c>
      <c r="D31" s="9" t="s">
        <v>185</v>
      </c>
      <c r="E31" s="0" t="s">
        <v>56</v>
      </c>
      <c r="F31" s="0" t="s">
        <v>151</v>
      </c>
      <c r="G31" s="3" t="n">
        <v>9150</v>
      </c>
      <c r="H31" s="3" t="n">
        <v>9750</v>
      </c>
      <c r="I31" s="3" t="n">
        <v>9450</v>
      </c>
      <c r="J31" s="3" t="n">
        <v>9992.237</v>
      </c>
      <c r="K31" s="4" t="n">
        <f aca="false">J31/I31-1</f>
        <v>0.0573795767195766</v>
      </c>
      <c r="L31" s="4" t="n">
        <f aca="false">J31/H31-1</f>
        <v>0.0248448205128204</v>
      </c>
      <c r="M31" s="9" t="s">
        <v>50</v>
      </c>
      <c r="N31" s="4" t="n">
        <v>0.222</v>
      </c>
      <c r="O31" s="3" t="n">
        <v>9992.237</v>
      </c>
      <c r="P31" s="3" t="n">
        <v>9473.548</v>
      </c>
      <c r="Q31" s="3" t="n">
        <v>8746.43</v>
      </c>
      <c r="R31" s="3" t="n">
        <v>7712.541</v>
      </c>
      <c r="S31" s="3" t="n">
        <v>7579.947</v>
      </c>
      <c r="T31" s="3" t="n">
        <v>401.472</v>
      </c>
      <c r="U31" s="3" t="n">
        <v>398.266</v>
      </c>
      <c r="V31" s="3" t="n">
        <v>335.316</v>
      </c>
      <c r="W31" s="3" t="n">
        <v>214.655</v>
      </c>
      <c r="X31" s="3" t="n">
        <v>212.505</v>
      </c>
      <c r="Y31" s="4" t="n">
        <f aca="false">IF(AND(ISNUMBER(O31),ISNUMBER(S31),S31&lt;&gt;0),O31/S31-1,"")</f>
        <v>0.318246288529458</v>
      </c>
      <c r="Z31" s="4" t="n">
        <v>0.889235547398885</v>
      </c>
      <c r="AA31" s="4" t="n">
        <f aca="false">IF(AND(ISNUMBER(O31),ISNUMBER(P31),P31&lt;&gt;0),O31/P31-1,"")</f>
        <v>0.0547512927574758</v>
      </c>
      <c r="AB31" s="4" t="n">
        <f aca="false">IF(AND(ISNUMBER(P31),ISNUMBER(Q31),Q31&lt;&gt;0),P31/Q31-1,"")</f>
        <v>0.0831331183122714</v>
      </c>
      <c r="AC31" s="4" t="n">
        <f aca="false">IF(AND(ISNUMBER(Q31),ISNUMBER(R31),R31&lt;&gt;0),Q31/R31-1,"")</f>
        <v>0.134052966460729</v>
      </c>
      <c r="AD31" s="4" t="n">
        <f aca="false">IF(AND(ISNUMBER(R31),ISNUMBER(S31),S31&lt;&gt;0),R31/S31-1,"")</f>
        <v>0.0174927344478795</v>
      </c>
      <c r="AE31" s="6" t="n">
        <v>118.839996337891</v>
      </c>
      <c r="AF31" s="6" t="n">
        <v>227.330001831055</v>
      </c>
      <c r="AG31" s="4" t="n">
        <f aca="false">IF(AND(ISNUMBER(AE31),ISNUMBER(AF31)),AF31/AE31-1,"")</f>
        <v>0.912908186101765</v>
      </c>
      <c r="AH31" s="7" t="n">
        <v>14.76982</v>
      </c>
      <c r="AI31" s="7" t="n">
        <v>9.655172</v>
      </c>
      <c r="AJ31" s="5" t="s">
        <v>186</v>
      </c>
      <c r="AK31" s="8" t="s">
        <v>45</v>
      </c>
    </row>
    <row r="32" customFormat="false" ht="15" hidden="false" customHeight="false" outlineLevel="0" collapsed="false">
      <c r="A32" s="0" t="s">
        <v>187</v>
      </c>
      <c r="B32" s="0" t="s">
        <v>188</v>
      </c>
      <c r="C32" s="0" t="s">
        <v>39</v>
      </c>
      <c r="D32" s="0" t="s">
        <v>189</v>
      </c>
      <c r="E32" s="0" t="s">
        <v>89</v>
      </c>
      <c r="F32" s="0" t="s">
        <v>133</v>
      </c>
      <c r="G32" s="3" t="n">
        <v>89180</v>
      </c>
      <c r="H32" s="3" t="n">
        <v>92820</v>
      </c>
      <c r="I32" s="3" t="n">
        <v>91000</v>
      </c>
      <c r="J32" s="3" t="n">
        <v>96221</v>
      </c>
      <c r="K32" s="4" t="n">
        <f aca="false">J32/I32-1</f>
        <v>0.0573736263736264</v>
      </c>
      <c r="L32" s="4" t="n">
        <f aca="false">J32/H32-1</f>
        <v>0.036640810170222</v>
      </c>
      <c r="M32" s="5" t="s">
        <v>190</v>
      </c>
      <c r="N32" s="4" t="n">
        <v>0.0616</v>
      </c>
      <c r="O32" s="3" t="n">
        <v>96221</v>
      </c>
      <c r="P32" s="3" t="n">
        <v>81615</v>
      </c>
      <c r="Q32" s="3" t="n">
        <v>68127</v>
      </c>
      <c r="R32" s="3" t="n">
        <v>57006</v>
      </c>
      <c r="S32" s="3" t="n">
        <v>46743</v>
      </c>
      <c r="T32" s="3" t="n">
        <v>63734</v>
      </c>
      <c r="U32" s="3" t="n">
        <v>53536</v>
      </c>
      <c r="V32" s="3" t="n">
        <v>44299</v>
      </c>
      <c r="W32" s="3" t="n">
        <v>36010</v>
      </c>
      <c r="X32" s="3" t="n">
        <v>28440</v>
      </c>
      <c r="Y32" s="4" t="n">
        <f aca="false">IF(AND(ISNUMBER(O32),ISNUMBER(S32),S32&lt;&gt;0),O32/S32-1,"")</f>
        <v>1.05851143486725</v>
      </c>
      <c r="Z32" s="4" t="n">
        <v>1.24099859353024</v>
      </c>
      <c r="AA32" s="4" t="n">
        <f aca="false">IF(AND(ISNUMBER(O32),ISNUMBER(P32),P32&lt;&gt;0),O32/P32-1,"")</f>
        <v>0.178962200575875</v>
      </c>
      <c r="AB32" s="4" t="n">
        <f aca="false">IF(AND(ISNUMBER(P32),ISNUMBER(Q32),Q32&lt;&gt;0),P32/Q32-1,"")</f>
        <v>0.197983178475494</v>
      </c>
      <c r="AC32" s="4" t="n">
        <f aca="false">IF(AND(ISNUMBER(Q32),ISNUMBER(R32),R32&lt;&gt;0),Q32/R32-1,"")</f>
        <v>0.195084727923377</v>
      </c>
      <c r="AD32" s="4" t="n">
        <f aca="false">IF(AND(ISNUMBER(R32),ISNUMBER(S32),S32&lt;&gt;0),R32/S32-1,"")</f>
        <v>0.219562287401322</v>
      </c>
      <c r="AE32" s="6" t="n">
        <v>177.690002441406</v>
      </c>
      <c r="AF32" s="6" t="n">
        <v>224.580001831055</v>
      </c>
      <c r="AG32" s="4" t="n">
        <f aca="false">IF(AND(ISNUMBER(AE32),ISNUMBER(AF32)),AF32/AE32-1,"")</f>
        <v>0.263886536920447</v>
      </c>
      <c r="AH32" s="7" t="n">
        <v>28.397598</v>
      </c>
      <c r="AI32" s="7" t="n">
        <v>14.323172</v>
      </c>
      <c r="AJ32" s="5" t="s">
        <v>191</v>
      </c>
      <c r="AK32" s="8" t="s">
        <v>45</v>
      </c>
    </row>
    <row r="33" customFormat="false" ht="15" hidden="false" customHeight="false" outlineLevel="0" collapsed="false">
      <c r="A33" s="0" t="s">
        <v>192</v>
      </c>
      <c r="B33" s="0" t="s">
        <v>193</v>
      </c>
      <c r="C33" s="0" t="s">
        <v>39</v>
      </c>
      <c r="D33" s="9" t="s">
        <v>194</v>
      </c>
      <c r="E33" s="0" t="s">
        <v>195</v>
      </c>
      <c r="F33" s="0" t="s">
        <v>101</v>
      </c>
      <c r="G33" s="3" t="n">
        <v>7350</v>
      </c>
      <c r="H33" s="3" t="n">
        <v>7650</v>
      </c>
      <c r="I33" s="3" t="n">
        <v>7500</v>
      </c>
      <c r="J33" s="3" t="n">
        <v>7928</v>
      </c>
      <c r="K33" s="4" t="n">
        <f aca="false">J33/I33-1</f>
        <v>0.0570666666666666</v>
      </c>
      <c r="L33" s="4" t="n">
        <f aca="false">J33/H33-1</f>
        <v>0.0363398692810457</v>
      </c>
      <c r="M33" s="9" t="s">
        <v>50</v>
      </c>
      <c r="N33" s="4" t="n">
        <v>0.088999994</v>
      </c>
      <c r="O33" s="3" t="n">
        <v>7928</v>
      </c>
      <c r="P33" s="3" t="n">
        <v>7477</v>
      </c>
      <c r="Q33" s="3" t="n">
        <v>7058</v>
      </c>
      <c r="R33" s="3" t="n">
        <v>6804</v>
      </c>
      <c r="S33" s="3" t="n">
        <v>6575</v>
      </c>
      <c r="T33" s="3" t="n">
        <v>392</v>
      </c>
      <c r="U33" s="3" t="n">
        <v>372</v>
      </c>
      <c r="V33" s="3" t="n">
        <v>389</v>
      </c>
      <c r="W33" s="3" t="n">
        <v>296</v>
      </c>
      <c r="X33" s="3" t="n">
        <v>311</v>
      </c>
      <c r="Y33" s="4" t="n">
        <f aca="false">IF(AND(ISNUMBER(O33),ISNUMBER(S33),S33&lt;&gt;0),O33/S33-1,"")</f>
        <v>0.205779467680608</v>
      </c>
      <c r="Z33" s="4" t="n">
        <v>0.260450160771704</v>
      </c>
      <c r="AA33" s="4" t="n">
        <f aca="false">IF(AND(ISNUMBER(O33),ISNUMBER(P33),P33&lt;&gt;0),O33/P33-1,"")</f>
        <v>0.0603183094824127</v>
      </c>
      <c r="AB33" s="4" t="n">
        <f aca="false">IF(AND(ISNUMBER(P33),ISNUMBER(Q33),Q33&lt;&gt;0),P33/Q33-1,"")</f>
        <v>0.0593652592802494</v>
      </c>
      <c r="AC33" s="4" t="n">
        <f aca="false">IF(AND(ISNUMBER(Q33),ISNUMBER(R33),R33&lt;&gt;0),Q33/R33-1,"")</f>
        <v>0.0373309817754262</v>
      </c>
      <c r="AD33" s="4" t="n">
        <f aca="false">IF(AND(ISNUMBER(R33),ISNUMBER(S33),S33&lt;&gt;0),R33/S33-1,"")</f>
        <v>0.034828897338403</v>
      </c>
      <c r="AE33" s="6" t="n">
        <v>56.5</v>
      </c>
      <c r="AF33" s="6" t="n">
        <v>112.400001525879</v>
      </c>
      <c r="AG33" s="4" t="n">
        <f aca="false">IF(AND(ISNUMBER(AE33),ISNUMBER(AF33)),AF33/AE33-1,"")</f>
        <v>0.989380557980158</v>
      </c>
      <c r="AH33" s="7" t="n">
        <v>46.166668</v>
      </c>
      <c r="AI33" s="7" t="n">
        <v>16.749846</v>
      </c>
      <c r="AJ33" s="5" t="s">
        <v>196</v>
      </c>
      <c r="AK33" s="8" t="s">
        <v>45</v>
      </c>
    </row>
    <row r="34" customFormat="false" ht="15" hidden="false" customHeight="false" outlineLevel="0" collapsed="false">
      <c r="A34" s="0" t="s">
        <v>197</v>
      </c>
      <c r="B34" s="0" t="s">
        <v>198</v>
      </c>
      <c r="C34" s="0" t="s">
        <v>54</v>
      </c>
      <c r="D34" s="9" t="s">
        <v>199</v>
      </c>
      <c r="E34" s="0" t="s">
        <v>56</v>
      </c>
      <c r="F34" s="0" t="s">
        <v>57</v>
      </c>
      <c r="G34" s="3" t="n">
        <v>388</v>
      </c>
      <c r="H34" s="3" t="n">
        <v>403</v>
      </c>
      <c r="I34" s="3" t="n">
        <v>395.5</v>
      </c>
      <c r="J34" s="3" t="n">
        <v>418.019</v>
      </c>
      <c r="K34" s="4" t="n">
        <f aca="false">J34/I34-1</f>
        <v>0.0569380530973451</v>
      </c>
      <c r="L34" s="4" t="n">
        <f aca="false">J34/H34-1</f>
        <v>0.0372679900744417</v>
      </c>
      <c r="M34" s="9" t="s">
        <v>50</v>
      </c>
      <c r="N34" s="4" t="n">
        <v>-0.0207</v>
      </c>
      <c r="O34" s="3" t="n">
        <v>418.019</v>
      </c>
      <c r="P34" s="3" t="n">
        <v>343.403</v>
      </c>
      <c r="Q34" s="3" t="n">
        <v>161.125</v>
      </c>
      <c r="R34" s="3" t="n">
        <v>285.348</v>
      </c>
      <c r="S34" s="3" t="n">
        <v>387.801</v>
      </c>
      <c r="T34" s="3" t="n">
        <v>86.192</v>
      </c>
      <c r="U34" s="3" t="n">
        <v>83.505</v>
      </c>
      <c r="V34" s="3" t="n">
        <v>3.502</v>
      </c>
      <c r="W34" s="3" t="n">
        <v>70.397</v>
      </c>
      <c r="X34" s="3" t="n">
        <v>102.398</v>
      </c>
      <c r="Y34" s="4" t="n">
        <f aca="false">IF(AND(ISNUMBER(O34),ISNUMBER(S34),S34&lt;&gt;0),O34/S34-1,"")</f>
        <v>0.0779214081448991</v>
      </c>
      <c r="Z34" s="4" t="n">
        <v>-0.158264809859568</v>
      </c>
      <c r="AA34" s="4" t="n">
        <f aca="false">IF(AND(ISNUMBER(O34),ISNUMBER(P34),P34&lt;&gt;0),O34/P34-1,"")</f>
        <v>0.217284065660463</v>
      </c>
      <c r="AB34" s="4" t="n">
        <f aca="false">IF(AND(ISNUMBER(P34),ISNUMBER(Q34),Q34&lt;&gt;0),P34/Q34-1,"")</f>
        <v>1.13128316524438</v>
      </c>
      <c r="AC34" s="4" t="n">
        <f aca="false">IF(AND(ISNUMBER(Q34),ISNUMBER(R34),R34&lt;&gt;0),Q34/R34-1,"")</f>
        <v>-0.435338604090444</v>
      </c>
      <c r="AD34" s="4" t="n">
        <f aca="false">IF(AND(ISNUMBER(R34),ISNUMBER(S34),S34&lt;&gt;0),R34/S34-1,"")</f>
        <v>-0.264189623028306</v>
      </c>
      <c r="AE34" s="6" t="n">
        <v>50.4799995422363</v>
      </c>
      <c r="AF34" s="6" t="n">
        <v>43.2200012207031</v>
      </c>
      <c r="AG34" s="4" t="n">
        <f aca="false">IF(AND(ISNUMBER(AE34),ISNUMBER(AF34)),AF34/AE34-1,"")</f>
        <v>-0.143819302443908</v>
      </c>
      <c r="AH34" s="7" t="n">
        <v>25.255882</v>
      </c>
      <c r="AI34" s="7" t="n">
        <v>21.279709</v>
      </c>
      <c r="AJ34" s="5" t="s">
        <v>200</v>
      </c>
      <c r="AK34" s="8" t="s">
        <v>45</v>
      </c>
    </row>
    <row r="35" customFormat="false" ht="15" hidden="false" customHeight="false" outlineLevel="0" collapsed="false">
      <c r="A35" s="0" t="s">
        <v>201</v>
      </c>
      <c r="B35" s="0" t="s">
        <v>202</v>
      </c>
      <c r="C35" s="0" t="s">
        <v>39</v>
      </c>
      <c r="D35" s="9" t="s">
        <v>203</v>
      </c>
      <c r="E35" s="0" t="s">
        <v>56</v>
      </c>
      <c r="F35" s="0" t="s">
        <v>151</v>
      </c>
      <c r="G35" s="3" t="n">
        <v>930</v>
      </c>
      <c r="H35" s="3" t="n">
        <v>970</v>
      </c>
      <c r="I35" s="3" t="n">
        <v>950</v>
      </c>
      <c r="J35" s="3" t="n">
        <v>1004.054</v>
      </c>
      <c r="K35" s="4" t="n">
        <f aca="false">J35/I35-1</f>
        <v>0.0568989473684209</v>
      </c>
      <c r="L35" s="4" t="n">
        <f aca="false">J35/H35-1</f>
        <v>0.0351072164948454</v>
      </c>
      <c r="M35" s="9" t="s">
        <v>50</v>
      </c>
      <c r="N35" s="4" t="n">
        <v>0.1031</v>
      </c>
      <c r="O35" s="3" t="n">
        <v>1004.054</v>
      </c>
      <c r="P35" s="3" t="n">
        <v>845.976</v>
      </c>
      <c r="Q35" s="3" t="n">
        <v>774.32</v>
      </c>
      <c r="R35" s="3" t="n">
        <v>752.736</v>
      </c>
      <c r="S35" s="3" t="n">
        <v>730.621</v>
      </c>
      <c r="T35" s="3" t="n">
        <v>109.395</v>
      </c>
      <c r="U35" s="3" t="n">
        <v>72.745</v>
      </c>
      <c r="V35" s="3" t="n">
        <v>80.965</v>
      </c>
      <c r="W35" s="3" t="n">
        <v>72.415</v>
      </c>
      <c r="X35" s="3" t="n">
        <v>63.177</v>
      </c>
      <c r="Y35" s="4" t="n">
        <f aca="false">IF(AND(ISNUMBER(O35),ISNUMBER(S35),S35&lt;&gt;0),O35/S35-1,"")</f>
        <v>0.374247386812041</v>
      </c>
      <c r="Z35" s="4" t="n">
        <v>0.731563701980151</v>
      </c>
      <c r="AA35" s="4" t="n">
        <f aca="false">IF(AND(ISNUMBER(O35),ISNUMBER(P35),P35&lt;&gt;0),O35/P35-1,"")</f>
        <v>0.186858728852828</v>
      </c>
      <c r="AB35" s="4" t="n">
        <f aca="false">IF(AND(ISNUMBER(P35),ISNUMBER(Q35),Q35&lt;&gt;0),P35/Q35-1,"")</f>
        <v>0.0925405517098874</v>
      </c>
      <c r="AC35" s="4" t="n">
        <f aca="false">IF(AND(ISNUMBER(Q35),ISNUMBER(R35),R35&lt;&gt;0),Q35/R35-1,"")</f>
        <v>0.0286740636823535</v>
      </c>
      <c r="AD35" s="4" t="n">
        <f aca="false">IF(AND(ISNUMBER(R35),ISNUMBER(S35),S35&lt;&gt;0),R35/S35-1,"")</f>
        <v>0.0302687713602539</v>
      </c>
      <c r="AE35" s="6" t="n">
        <v>54.5099983215332</v>
      </c>
      <c r="AF35" s="6" t="n">
        <v>126.980003356934</v>
      </c>
      <c r="AG35" s="4" t="n">
        <f aca="false">IF(AND(ISNUMBER(AE35),ISNUMBER(AF35)),AF35/AE35-1,"")</f>
        <v>1.32948096251862</v>
      </c>
      <c r="AH35" s="7" t="n">
        <v>58.024776</v>
      </c>
      <c r="AI35" s="7" t="n">
        <v>18.689156</v>
      </c>
      <c r="AJ35" s="5" t="s">
        <v>204</v>
      </c>
      <c r="AK35" s="8" t="s">
        <v>45</v>
      </c>
    </row>
    <row r="36" customFormat="false" ht="15" hidden="false" customHeight="false" outlineLevel="0" collapsed="false">
      <c r="A36" s="0" t="s">
        <v>205</v>
      </c>
      <c r="B36" s="0" t="s">
        <v>206</v>
      </c>
      <c r="C36" s="0" t="s">
        <v>39</v>
      </c>
      <c r="D36" s="9" t="s">
        <v>207</v>
      </c>
      <c r="E36" s="0" t="s">
        <v>56</v>
      </c>
      <c r="F36" s="0" t="s">
        <v>151</v>
      </c>
      <c r="G36" s="3" t="n">
        <v>320</v>
      </c>
      <c r="H36" s="3" t="n">
        <v>330</v>
      </c>
      <c r="I36" s="3" t="n">
        <v>325</v>
      </c>
      <c r="J36" s="3" t="n">
        <v>343.129</v>
      </c>
      <c r="K36" s="4" t="n">
        <f aca="false">J36/I36-1</f>
        <v>0.0557815384615386</v>
      </c>
      <c r="L36" s="4" t="n">
        <f aca="false">J36/H36-1</f>
        <v>0.0397848484848486</v>
      </c>
      <c r="M36" s="9" t="s">
        <v>50</v>
      </c>
      <c r="N36" s="4" t="n">
        <v>0.1415</v>
      </c>
      <c r="O36" s="3" t="n">
        <v>343.129</v>
      </c>
      <c r="P36" s="3" t="n">
        <v>291.949</v>
      </c>
      <c r="Q36" s="3" t="n">
        <v>266.866</v>
      </c>
      <c r="R36" s="3" t="n">
        <v>218.193</v>
      </c>
      <c r="S36" s="3" t="n">
        <v>253.597</v>
      </c>
      <c r="T36" s="3" t="n">
        <v>67.311</v>
      </c>
      <c r="U36" s="3" t="n">
        <v>38.723</v>
      </c>
      <c r="V36" s="3" t="n">
        <v>20.861</v>
      </c>
      <c r="W36" s="3" t="n">
        <v>27.762</v>
      </c>
      <c r="X36" s="3" t="n">
        <v>38.471</v>
      </c>
      <c r="Y36" s="4" t="n">
        <f aca="false">IF(AND(ISNUMBER(O36),ISNUMBER(S36),S36&lt;&gt;0),O36/S36-1,"")</f>
        <v>0.353048340477214</v>
      </c>
      <c r="Z36" s="4" t="n">
        <v>0.749655584726158</v>
      </c>
      <c r="AA36" s="4" t="n">
        <f aca="false">IF(AND(ISNUMBER(O36),ISNUMBER(P36),P36&lt;&gt;0),O36/P36-1,"")</f>
        <v>0.175304590870323</v>
      </c>
      <c r="AB36" s="4" t="n">
        <f aca="false">IF(AND(ISNUMBER(P36),ISNUMBER(Q36),Q36&lt;&gt;0),P36/Q36-1,"")</f>
        <v>0.0939909917336792</v>
      </c>
      <c r="AC36" s="4" t="n">
        <f aca="false">IF(AND(ISNUMBER(Q36),ISNUMBER(R36),R36&lt;&gt;0),Q36/R36-1,"")</f>
        <v>0.223073150834353</v>
      </c>
      <c r="AD36" s="4" t="n">
        <f aca="false">IF(AND(ISNUMBER(R36),ISNUMBER(S36),S36&lt;&gt;0),R36/S36-1,"")</f>
        <v>-0.139607329739705</v>
      </c>
      <c r="AE36" s="6" t="n">
        <v>127.930000305176</v>
      </c>
      <c r="AF36" s="6" t="n">
        <v>279.730010986328</v>
      </c>
      <c r="AG36" s="4" t="n">
        <f aca="false">IF(AND(ISNUMBER(AE36),ISNUMBER(AF36)),AF36/AE36-1,"")</f>
        <v>1.18658649510697</v>
      </c>
      <c r="AH36" s="7" t="n">
        <v>108.06578</v>
      </c>
      <c r="AI36" s="7" t="n">
        <v>24.4505</v>
      </c>
      <c r="AJ36" s="5" t="s">
        <v>208</v>
      </c>
      <c r="AK36" s="8" t="s">
        <v>45</v>
      </c>
    </row>
    <row r="37" customFormat="false" ht="15" hidden="false" customHeight="false" outlineLevel="0" collapsed="false">
      <c r="A37" s="0" t="s">
        <v>209</v>
      </c>
      <c r="B37" s="0" t="s">
        <v>210</v>
      </c>
      <c r="C37" s="0" t="s">
        <v>39</v>
      </c>
      <c r="D37" s="0" t="s">
        <v>211</v>
      </c>
      <c r="E37" s="0" t="s">
        <v>89</v>
      </c>
      <c r="F37" s="0" t="s">
        <v>212</v>
      </c>
      <c r="G37" s="3" t="n">
        <v>44000</v>
      </c>
      <c r="H37" s="3" t="n">
        <v>45000</v>
      </c>
      <c r="I37" s="3" t="n">
        <v>44500</v>
      </c>
      <c r="J37" s="3" t="n">
        <v>46971</v>
      </c>
      <c r="K37" s="4" t="n">
        <f aca="false">J37/I37-1</f>
        <v>0.0555280898876405</v>
      </c>
      <c r="L37" s="4" t="n">
        <f aca="false">J37/H37-1</f>
        <v>0.0438000000000001</v>
      </c>
      <c r="M37" s="9" t="s">
        <v>50</v>
      </c>
      <c r="N37" s="4" t="n">
        <v>0.4314</v>
      </c>
      <c r="O37" s="3" t="n">
        <v>46971</v>
      </c>
      <c r="P37" s="3" t="n">
        <v>43842</v>
      </c>
      <c r="Q37" s="3" t="n">
        <v>33379</v>
      </c>
      <c r="R37" s="3" t="n">
        <v>27005</v>
      </c>
      <c r="S37" s="3" t="n">
        <v>29776</v>
      </c>
      <c r="T37" s="3" t="n">
        <v>5472</v>
      </c>
      <c r="U37" s="3" t="n">
        <v>3762</v>
      </c>
      <c r="V37" s="3" t="n">
        <v>3145</v>
      </c>
      <c r="W37" s="3" t="n">
        <v>2168</v>
      </c>
      <c r="X37" s="3" t="n">
        <v>1901</v>
      </c>
      <c r="Y37" s="4" t="n">
        <f aca="false">IF(AND(ISNUMBER(O37),ISNUMBER(S37),S37&lt;&gt;0),O37/S37-1,"")</f>
        <v>0.577478506179473</v>
      </c>
      <c r="Z37" s="4" t="n">
        <v>1.87848500789058</v>
      </c>
      <c r="AA37" s="4" t="n">
        <f aca="false">IF(AND(ISNUMBER(O37),ISNUMBER(P37),P37&lt;&gt;0),O37/P37-1,"")</f>
        <v>0.0713699192555084</v>
      </c>
      <c r="AB37" s="4" t="n">
        <f aca="false">IF(AND(ISNUMBER(P37),ISNUMBER(Q37),Q37&lt;&gt;0),P37/Q37-1,"")</f>
        <v>0.313460559034123</v>
      </c>
      <c r="AC37" s="4" t="n">
        <f aca="false">IF(AND(ISNUMBER(Q37),ISNUMBER(R37),R37&lt;&gt;0),Q37/R37-1,"")</f>
        <v>0.236030364747269</v>
      </c>
      <c r="AD37" s="4" t="n">
        <f aca="false">IF(AND(ISNUMBER(R37),ISNUMBER(S37),S37&lt;&gt;0),R37/S37-1,"")</f>
        <v>-0.0930615260612574</v>
      </c>
      <c r="AE37" s="6" t="n">
        <v>130.960006713867</v>
      </c>
      <c r="AF37" s="6" t="n">
        <v>536.02001953125</v>
      </c>
      <c r="AG37" s="4" t="n">
        <f aca="false">IF(AND(ISNUMBER(AE37),ISNUMBER(AF37)),AF37/AE37-1,"")</f>
        <v>3.09300543716673</v>
      </c>
      <c r="AH37" s="7" t="n">
        <v>32.1412</v>
      </c>
      <c r="AI37" s="7" t="n">
        <v>18.997408</v>
      </c>
      <c r="AJ37" s="5" t="s">
        <v>213</v>
      </c>
      <c r="AK37" s="8" t="s">
        <v>45</v>
      </c>
    </row>
    <row r="38" customFormat="false" ht="15" hidden="false" customHeight="false" outlineLevel="0" collapsed="false">
      <c r="A38" s="0" t="s">
        <v>214</v>
      </c>
      <c r="B38" s="0" t="s">
        <v>215</v>
      </c>
      <c r="C38" s="0" t="s">
        <v>39</v>
      </c>
      <c r="D38" s="9" t="s">
        <v>216</v>
      </c>
      <c r="E38" s="0" t="s">
        <v>56</v>
      </c>
      <c r="F38" s="0" t="s">
        <v>101</v>
      </c>
      <c r="G38" s="3" t="n">
        <v>690</v>
      </c>
      <c r="H38" s="3" t="n">
        <v>710</v>
      </c>
      <c r="I38" s="3" t="n">
        <v>700</v>
      </c>
      <c r="J38" s="3" t="n">
        <v>738.781</v>
      </c>
      <c r="K38" s="4" t="n">
        <f aca="false">J38/I38-1</f>
        <v>0.0554014285714286</v>
      </c>
      <c r="L38" s="4" t="n">
        <f aca="false">J38/H38-1</f>
        <v>0.0405366197183097</v>
      </c>
      <c r="M38" s="9" t="s">
        <v>50</v>
      </c>
      <c r="N38" s="4" t="n">
        <v>0.1075</v>
      </c>
      <c r="O38" s="3" t="n">
        <v>738.781</v>
      </c>
      <c r="P38" s="3" t="n">
        <v>656.969</v>
      </c>
      <c r="Q38" s="3" t="n">
        <v>593.934</v>
      </c>
      <c r="R38" s="3" t="n">
        <v>624.64</v>
      </c>
      <c r="S38" s="3" t="n">
        <v>613.413</v>
      </c>
      <c r="T38" s="3" t="n">
        <v>139.745</v>
      </c>
      <c r="U38" s="3" t="n">
        <v>108.587</v>
      </c>
      <c r="V38" s="3" t="n">
        <v>84.076</v>
      </c>
      <c r="W38" s="3" t="n">
        <v>99.049</v>
      </c>
      <c r="X38" s="3" t="n">
        <v>95.284</v>
      </c>
      <c r="Y38" s="4" t="n">
        <f aca="false">IF(AND(ISNUMBER(O38),ISNUMBER(S38),S38&lt;&gt;0),O38/S38-1,"")</f>
        <v>0.204377800926945</v>
      </c>
      <c r="Z38" s="4" t="n">
        <v>0.466615591285001</v>
      </c>
      <c r="AA38" s="4" t="n">
        <f aca="false">IF(AND(ISNUMBER(O38),ISNUMBER(P38),P38&lt;&gt;0),O38/P38-1,"")</f>
        <v>0.124529467904878</v>
      </c>
      <c r="AB38" s="4" t="n">
        <f aca="false">IF(AND(ISNUMBER(P38),ISNUMBER(Q38),Q38&lt;&gt;0),P38/Q38-1,"")</f>
        <v>0.106131320988528</v>
      </c>
      <c r="AC38" s="4" t="n">
        <f aca="false">IF(AND(ISNUMBER(Q38),ISNUMBER(R38),R38&lt;&gt;0),Q38/R38-1,"")</f>
        <v>-0.0491579149590165</v>
      </c>
      <c r="AD38" s="4" t="n">
        <f aca="false">IF(AND(ISNUMBER(R38),ISNUMBER(S38),S38&lt;&gt;0),R38/S38-1,"")</f>
        <v>0.0183025139669357</v>
      </c>
      <c r="AE38" s="6" t="n">
        <v>257.75</v>
      </c>
      <c r="AF38" s="6" t="n">
        <v>421.160003662109</v>
      </c>
      <c r="AG38" s="4" t="n">
        <f aca="false">IF(AND(ISNUMBER(AE38),ISNUMBER(AF38)),AF38/AE38-1,"")</f>
        <v>0.633986435158523</v>
      </c>
      <c r="AH38" s="7"/>
      <c r="AI38" s="7" t="n">
        <v>21.214134</v>
      </c>
      <c r="AJ38" s="5" t="s">
        <v>217</v>
      </c>
      <c r="AK38" s="8" t="s">
        <v>45</v>
      </c>
    </row>
    <row r="39" customFormat="false" ht="15" hidden="false" customHeight="false" outlineLevel="0" collapsed="false">
      <c r="A39" s="0" t="s">
        <v>218</v>
      </c>
      <c r="B39" s="0" t="s">
        <v>219</v>
      </c>
      <c r="C39" s="0" t="s">
        <v>39</v>
      </c>
      <c r="D39" s="0" t="s">
        <v>220</v>
      </c>
      <c r="E39" s="0" t="s">
        <v>89</v>
      </c>
      <c r="F39" s="0" t="s">
        <v>212</v>
      </c>
      <c r="G39" s="3" t="n">
        <v>729</v>
      </c>
      <c r="H39" s="3" t="n">
        <v>734</v>
      </c>
      <c r="I39" s="3" t="n">
        <v>731.5</v>
      </c>
      <c r="J39" s="3" t="n">
        <v>771.773</v>
      </c>
      <c r="K39" s="4" t="n">
        <f aca="false">J39/I39-1</f>
        <v>0.0550553656869446</v>
      </c>
      <c r="L39" s="4" t="n">
        <f aca="false">J39/H39-1</f>
        <v>0.0514618528610356</v>
      </c>
      <c r="M39" s="9" t="s">
        <v>50</v>
      </c>
      <c r="N39" s="4" t="n">
        <v>0.18090001</v>
      </c>
      <c r="O39" s="3" t="n">
        <v>771.773</v>
      </c>
      <c r="P39" s="3" t="n">
        <v>687.616</v>
      </c>
      <c r="Q39" s="3" t="n">
        <v>695.072</v>
      </c>
      <c r="R39" s="3" t="n">
        <v>628.309</v>
      </c>
      <c r="S39" s="3" t="n">
        <v>591.402</v>
      </c>
      <c r="T39" s="3" t="n">
        <v>28.4</v>
      </c>
      <c r="U39" s="3" t="n">
        <v>-24.804</v>
      </c>
      <c r="V39" s="3" t="n">
        <v>0.304</v>
      </c>
      <c r="W39" s="3" t="n">
        <v>-18.424</v>
      </c>
      <c r="X39" s="3" t="n">
        <v>-65.294</v>
      </c>
      <c r="Y39" s="4" t="n">
        <f aca="false">IF(AND(ISNUMBER(O39),ISNUMBER(S39),S39&lt;&gt;0),O39/S39-1,"")</f>
        <v>0.30498882316935</v>
      </c>
      <c r="Z39" s="10" t="s">
        <v>64</v>
      </c>
      <c r="AA39" s="4" t="n">
        <f aca="false">IF(AND(ISNUMBER(O39),ISNUMBER(P39),P39&lt;&gt;0),O39/P39-1,"")</f>
        <v>0.122389531366344</v>
      </c>
      <c r="AB39" s="4" t="n">
        <f aca="false">IF(AND(ISNUMBER(P39),ISNUMBER(Q39),Q39&lt;&gt;0),P39/Q39-1,"")</f>
        <v>-0.0107269462731918</v>
      </c>
      <c r="AC39" s="4" t="n">
        <f aca="false">IF(AND(ISNUMBER(Q39),ISNUMBER(R39),R39&lt;&gt;0),Q39/R39-1,"")</f>
        <v>0.106258226445905</v>
      </c>
      <c r="AD39" s="4" t="n">
        <f aca="false">IF(AND(ISNUMBER(R39),ISNUMBER(S39),S39&lt;&gt;0),R39/S39-1,"")</f>
        <v>0.0624059438419213</v>
      </c>
      <c r="AE39" s="6" t="n">
        <v>315.320007324219</v>
      </c>
      <c r="AF39" s="6" t="n">
        <v>421.399993896484</v>
      </c>
      <c r="AG39" s="4" t="n">
        <f aca="false">IF(AND(ISNUMBER(AE39),ISNUMBER(AF39)),AF39/AE39-1,"")</f>
        <v>0.336420094216197</v>
      </c>
      <c r="AH39" s="7" t="n">
        <v>584.5416</v>
      </c>
      <c r="AI39" s="7" t="n">
        <v>54.008514</v>
      </c>
      <c r="AJ39" s="5" t="s">
        <v>221</v>
      </c>
      <c r="AK39" s="8" t="s">
        <v>45</v>
      </c>
    </row>
    <row r="40" customFormat="false" ht="15" hidden="false" customHeight="false" outlineLevel="0" collapsed="false">
      <c r="A40" s="0" t="s">
        <v>222</v>
      </c>
      <c r="B40" s="0" t="s">
        <v>223</v>
      </c>
      <c r="C40" s="0" t="s">
        <v>54</v>
      </c>
      <c r="D40" s="9" t="s">
        <v>224</v>
      </c>
      <c r="E40" s="0" t="s">
        <v>89</v>
      </c>
      <c r="F40" s="0" t="s">
        <v>225</v>
      </c>
      <c r="G40" s="3" t="n">
        <v>760</v>
      </c>
      <c r="H40" s="3" t="n">
        <v>790</v>
      </c>
      <c r="I40" s="3" t="n">
        <v>775</v>
      </c>
      <c r="J40" s="3" t="n">
        <v>817.667</v>
      </c>
      <c r="K40" s="4" t="n">
        <f aca="false">J40/I40-1</f>
        <v>0.055054193548387</v>
      </c>
      <c r="L40" s="4" t="n">
        <f aca="false">J40/H40-1</f>
        <v>0.0350215189873417</v>
      </c>
      <c r="M40" s="9" t="s">
        <v>50</v>
      </c>
      <c r="N40" s="4" t="n">
        <v>0.050300002</v>
      </c>
      <c r="O40" s="3" t="n">
        <v>817.667</v>
      </c>
      <c r="P40" s="3" t="n">
        <v>740.847</v>
      </c>
      <c r="Q40" s="3" t="n">
        <v>669.461</v>
      </c>
      <c r="R40" s="3" t="n">
        <v>751.82</v>
      </c>
      <c r="S40" s="3" t="n">
        <v>741.509</v>
      </c>
      <c r="T40" s="3" t="n">
        <v>223.092</v>
      </c>
      <c r="U40" s="3" t="n">
        <v>197.203</v>
      </c>
      <c r="V40" s="3" t="n">
        <v>166.405</v>
      </c>
      <c r="W40" s="3" t="n">
        <v>214.595</v>
      </c>
      <c r="X40" s="3" t="n">
        <v>199.978</v>
      </c>
      <c r="Y40" s="4" t="n">
        <f aca="false">IF(AND(ISNUMBER(O40),ISNUMBER(S40),S40&lt;&gt;0),O40/S40-1,"")</f>
        <v>0.102706777665544</v>
      </c>
      <c r="Z40" s="4" t="n">
        <v>0.115582714098551</v>
      </c>
      <c r="AA40" s="4" t="n">
        <f aca="false">IF(AND(ISNUMBER(O40),ISNUMBER(P40),P40&lt;&gt;0),O40/P40-1,"")</f>
        <v>0.103692125364617</v>
      </c>
      <c r="AB40" s="4" t="n">
        <f aca="false">IF(AND(ISNUMBER(P40),ISNUMBER(Q40),Q40&lt;&gt;0),P40/Q40-1,"")</f>
        <v>0.106632051755069</v>
      </c>
      <c r="AC40" s="4" t="n">
        <f aca="false">IF(AND(ISNUMBER(Q40),ISNUMBER(R40),R40&lt;&gt;0),Q40/R40-1,"")</f>
        <v>-0.109546167965737</v>
      </c>
      <c r="AD40" s="4" t="n">
        <f aca="false">IF(AND(ISNUMBER(R40),ISNUMBER(S40),S40&lt;&gt;0),R40/S40-1,"")</f>
        <v>0.013905427985365</v>
      </c>
      <c r="AE40" s="6" t="n">
        <v>221.520004272461</v>
      </c>
      <c r="AF40" s="6" t="n">
        <v>323.260009765625</v>
      </c>
      <c r="AG40" s="4" t="n">
        <f aca="false">IF(AND(ISNUMBER(AE40),ISNUMBER(AF40)),AF40/AE40-1,"")</f>
        <v>0.459281344939069</v>
      </c>
      <c r="AH40" s="7" t="n">
        <v>32.798786</v>
      </c>
      <c r="AI40" s="7" t="n">
        <v>24.98525</v>
      </c>
      <c r="AJ40" s="5" t="s">
        <v>226</v>
      </c>
      <c r="AK40" s="8" t="s">
        <v>45</v>
      </c>
    </row>
    <row r="41" customFormat="false" ht="15" hidden="false" customHeight="false" outlineLevel="0" collapsed="false">
      <c r="A41" s="0" t="s">
        <v>227</v>
      </c>
      <c r="B41" s="0" t="s">
        <v>228</v>
      </c>
      <c r="C41" s="0" t="s">
        <v>39</v>
      </c>
      <c r="D41" s="9" t="s">
        <v>229</v>
      </c>
      <c r="E41" s="0" t="s">
        <v>56</v>
      </c>
      <c r="F41" s="0" t="s">
        <v>230</v>
      </c>
      <c r="G41" s="3" t="n">
        <v>1750</v>
      </c>
      <c r="H41" s="3" t="n">
        <v>1850</v>
      </c>
      <c r="I41" s="3" t="n">
        <v>1800</v>
      </c>
      <c r="J41" s="3" t="n">
        <v>1897.965</v>
      </c>
      <c r="K41" s="4" t="n">
        <f aca="false">J41/I41-1</f>
        <v>0.0544249999999999</v>
      </c>
      <c r="L41" s="4" t="n">
        <f aca="false">J41/H41-1</f>
        <v>0.0259270270270269</v>
      </c>
      <c r="M41" s="9" t="s">
        <v>50</v>
      </c>
      <c r="N41" s="4" t="n">
        <v>0.45400003</v>
      </c>
      <c r="O41" s="3" t="n">
        <v>1897.965</v>
      </c>
      <c r="P41" s="3" t="n">
        <v>1684.701</v>
      </c>
      <c r="Q41" s="3" t="n">
        <v>1888.046</v>
      </c>
      <c r="R41" s="3" t="n">
        <v>1986.968</v>
      </c>
      <c r="S41" s="3" t="n">
        <v>1511.392</v>
      </c>
      <c r="T41" s="3" t="n">
        <v>199.854</v>
      </c>
      <c r="U41" s="3" t="n">
        <v>100.287</v>
      </c>
      <c r="V41" s="3" t="n">
        <v>184.968</v>
      </c>
      <c r="W41" s="3" t="n">
        <v>158.927</v>
      </c>
      <c r="X41" s="3" t="n">
        <v>91.967</v>
      </c>
      <c r="Y41" s="4" t="n">
        <f aca="false">IF(AND(ISNUMBER(O41),ISNUMBER(S41),S41&lt;&gt;0),O41/S41-1,"")</f>
        <v>0.255772823992717</v>
      </c>
      <c r="Z41" s="4" t="n">
        <v>1.17310557047637</v>
      </c>
      <c r="AA41" s="4" t="n">
        <f aca="false">IF(AND(ISNUMBER(O41),ISNUMBER(P41),P41&lt;&gt;0),O41/P41-1,"")</f>
        <v>0.126588635015946</v>
      </c>
      <c r="AB41" s="4" t="n">
        <f aca="false">IF(AND(ISNUMBER(P41),ISNUMBER(Q41),Q41&lt;&gt;0),P41/Q41-1,"")</f>
        <v>-0.107701295413353</v>
      </c>
      <c r="AC41" s="4" t="n">
        <f aca="false">IF(AND(ISNUMBER(Q41),ISNUMBER(R41),R41&lt;&gt;0),Q41/R41-1,"")</f>
        <v>-0.0497854016773295</v>
      </c>
      <c r="AD41" s="4" t="n">
        <f aca="false">IF(AND(ISNUMBER(R41),ISNUMBER(S41),S41&lt;&gt;0),R41/S41-1,"")</f>
        <v>0.314660921852173</v>
      </c>
      <c r="AE41" s="6" t="n">
        <v>29.1599998474121</v>
      </c>
      <c r="AF41" s="6" t="n">
        <v>52.689998626709</v>
      </c>
      <c r="AG41" s="4" t="n">
        <f aca="false">IF(AND(ISNUMBER(AE41),ISNUMBER(AF41)),AF41/AE41-1,"")</f>
        <v>0.806927260028265</v>
      </c>
      <c r="AH41" s="7" t="n">
        <v>24.463636</v>
      </c>
      <c r="AI41" s="7" t="n">
        <v>19.177937</v>
      </c>
      <c r="AJ41" s="5" t="s">
        <v>231</v>
      </c>
      <c r="AK41" s="8" t="s">
        <v>45</v>
      </c>
    </row>
    <row r="42" customFormat="false" ht="15" hidden="false" customHeight="false" outlineLevel="0" collapsed="false">
      <c r="A42" s="0" t="s">
        <v>232</v>
      </c>
      <c r="B42" s="0" t="s">
        <v>233</v>
      </c>
      <c r="C42" s="0" t="s">
        <v>39</v>
      </c>
      <c r="D42" s="0" t="s">
        <v>234</v>
      </c>
      <c r="E42" s="0" t="s">
        <v>56</v>
      </c>
      <c r="F42" s="0" t="s">
        <v>80</v>
      </c>
      <c r="G42" s="3" t="n">
        <v>13600</v>
      </c>
      <c r="H42" s="3" t="n">
        <v>14000</v>
      </c>
      <c r="I42" s="3" t="n">
        <v>13800</v>
      </c>
      <c r="J42" s="3" t="n">
        <v>14531.069</v>
      </c>
      <c r="K42" s="4" t="n">
        <f aca="false">J42/I42-1</f>
        <v>0.0529760144927536</v>
      </c>
      <c r="L42" s="4" t="n">
        <f aca="false">J42/H42-1</f>
        <v>0.0379335000000001</v>
      </c>
      <c r="M42" s="9" t="s">
        <v>50</v>
      </c>
      <c r="N42" s="4" t="n">
        <v>0.1101</v>
      </c>
      <c r="O42" s="3" t="n">
        <v>14531.069</v>
      </c>
      <c r="P42" s="3" t="n">
        <v>13962.981</v>
      </c>
      <c r="Q42" s="3" t="n">
        <v>14877.709</v>
      </c>
      <c r="R42" s="3" t="n">
        <v>12603.755</v>
      </c>
      <c r="S42" s="3" t="n">
        <v>12793.956</v>
      </c>
      <c r="T42" s="3" t="n">
        <v>244.26</v>
      </c>
      <c r="U42" s="3" t="n">
        <v>232.375</v>
      </c>
      <c r="V42" s="3" t="n">
        <v>319.674</v>
      </c>
      <c r="W42" s="3" t="n">
        <v>227.052</v>
      </c>
      <c r="X42" s="3" t="n">
        <v>142.837</v>
      </c>
      <c r="Y42" s="4" t="n">
        <f aca="false">IF(AND(ISNUMBER(O42),ISNUMBER(S42),S42&lt;&gt;0),O42/S42-1,"")</f>
        <v>0.135776064885638</v>
      </c>
      <c r="Z42" s="4" t="n">
        <v>0.710061118617725</v>
      </c>
      <c r="AA42" s="4" t="n">
        <f aca="false">IF(AND(ISNUMBER(O42),ISNUMBER(P42),P42&lt;&gt;0),O42/P42-1,"")</f>
        <v>0.0406852949237702</v>
      </c>
      <c r="AB42" s="4" t="n">
        <f aca="false">IF(AND(ISNUMBER(P42),ISNUMBER(Q42),Q42&lt;&gt;0),P42/Q42-1,"")</f>
        <v>-0.0614831221661885</v>
      </c>
      <c r="AC42" s="4" t="n">
        <f aca="false">IF(AND(ISNUMBER(Q42),ISNUMBER(R42),R42&lt;&gt;0),Q42/R42-1,"")</f>
        <v>0.180418772024686</v>
      </c>
      <c r="AD42" s="4" t="n">
        <f aca="false">IF(AND(ISNUMBER(R42),ISNUMBER(S42),S42&lt;&gt;0),R42/S42-1,"")</f>
        <v>-0.0148664728876667</v>
      </c>
      <c r="AE42" s="6" t="n">
        <v>20.5200004577637</v>
      </c>
      <c r="AF42" s="6" t="n">
        <v>26.3500003814697</v>
      </c>
      <c r="AG42" s="4" t="n">
        <f aca="false">IF(AND(ISNUMBER(AE42),ISNUMBER(AF42)),AF42/AE42-1,"")</f>
        <v>0.284113050372779</v>
      </c>
      <c r="AH42" s="7" t="n">
        <v>14.844262</v>
      </c>
      <c r="AI42" s="7" t="n">
        <v>7.236031</v>
      </c>
      <c r="AJ42" s="5" t="s">
        <v>235</v>
      </c>
      <c r="AK42" s="8" t="s">
        <v>45</v>
      </c>
    </row>
    <row r="43" customFormat="false" ht="15" hidden="false" customHeight="false" outlineLevel="0" collapsed="false">
      <c r="A43" s="0" t="s">
        <v>236</v>
      </c>
      <c r="B43" s="0" t="s">
        <v>237</v>
      </c>
      <c r="C43" s="0" t="s">
        <v>39</v>
      </c>
      <c r="D43" s="9" t="s">
        <v>238</v>
      </c>
      <c r="E43" s="0" t="s">
        <v>89</v>
      </c>
      <c r="F43" s="0" t="s">
        <v>90</v>
      </c>
      <c r="G43" s="3" t="n">
        <v>482</v>
      </c>
      <c r="H43" s="3" t="n">
        <v>484</v>
      </c>
      <c r="I43" s="3" t="n">
        <v>483</v>
      </c>
      <c r="J43" s="3" t="n">
        <v>508.437</v>
      </c>
      <c r="K43" s="4" t="n">
        <f aca="false">J43/I43-1</f>
        <v>0.0526645962732919</v>
      </c>
      <c r="L43" s="4" t="n">
        <f aca="false">J43/H43-1</f>
        <v>0.0504896694214876</v>
      </c>
      <c r="M43" s="9" t="s">
        <v>50</v>
      </c>
      <c r="N43" s="4" t="n">
        <v>0.2736</v>
      </c>
      <c r="O43" s="3" t="n">
        <v>508.437</v>
      </c>
      <c r="P43" s="3" t="n">
        <v>478.844</v>
      </c>
      <c r="Q43" s="3" t="n">
        <v>444.296</v>
      </c>
      <c r="R43" s="3" t="n">
        <v>415.975</v>
      </c>
      <c r="S43" s="3" t="n">
        <v>391.48</v>
      </c>
      <c r="T43" s="3" t="n">
        <v>4.875</v>
      </c>
      <c r="U43" s="3" t="n">
        <v>7.195</v>
      </c>
      <c r="V43" s="3" t="n">
        <v>9.019</v>
      </c>
      <c r="W43" s="3" t="n">
        <v>-1.721</v>
      </c>
      <c r="X43" s="3" t="n">
        <v>-26.619</v>
      </c>
      <c r="Y43" s="4" t="n">
        <f aca="false">IF(AND(ISNUMBER(O43),ISNUMBER(S43),S43&lt;&gt;0),O43/S43-1,"")</f>
        <v>0.298756002860938</v>
      </c>
      <c r="Z43" s="10" t="s">
        <v>64</v>
      </c>
      <c r="AA43" s="4" t="n">
        <f aca="false">IF(AND(ISNUMBER(O43),ISNUMBER(P43),P43&lt;&gt;0),O43/P43-1,"")</f>
        <v>0.0618009205503254</v>
      </c>
      <c r="AB43" s="4" t="n">
        <f aca="false">IF(AND(ISNUMBER(P43),ISNUMBER(Q43),Q43&lt;&gt;0),P43/Q43-1,"")</f>
        <v>0.0777589714964799</v>
      </c>
      <c r="AC43" s="4" t="n">
        <f aca="false">IF(AND(ISNUMBER(Q43),ISNUMBER(R43),R43&lt;&gt;0),Q43/R43-1,"")</f>
        <v>0.0680834184746679</v>
      </c>
      <c r="AD43" s="4" t="n">
        <f aca="false">IF(AND(ISNUMBER(R43),ISNUMBER(S43),S43&lt;&gt;0),R43/S43-1,"")</f>
        <v>0.0625702462450188</v>
      </c>
      <c r="AE43" s="6" t="n">
        <v>38.5099983215332</v>
      </c>
      <c r="AF43" s="6" t="n">
        <v>39.3199996948242</v>
      </c>
      <c r="AG43" s="4" t="n">
        <f aca="false">IF(AND(ISNUMBER(AE43),ISNUMBER(AF43)),AF43/AE43-1,"")</f>
        <v>0.0210335343701664</v>
      </c>
      <c r="AH43" s="7" t="n">
        <v>259.4</v>
      </c>
      <c r="AI43" s="7" t="n">
        <v>40.97946</v>
      </c>
      <c r="AJ43" s="5" t="s">
        <v>239</v>
      </c>
      <c r="AK43" s="8" t="s">
        <v>45</v>
      </c>
    </row>
    <row r="44" customFormat="false" ht="15" hidden="false" customHeight="false" outlineLevel="0" collapsed="false">
      <c r="A44" s="0" t="s">
        <v>240</v>
      </c>
      <c r="B44" s="0" t="s">
        <v>241</v>
      </c>
      <c r="C44" s="0" t="s">
        <v>39</v>
      </c>
      <c r="D44" s="9" t="s">
        <v>242</v>
      </c>
      <c r="E44" s="0" t="s">
        <v>56</v>
      </c>
      <c r="F44" s="0" t="s">
        <v>151</v>
      </c>
      <c r="G44" s="3" t="n">
        <v>1420</v>
      </c>
      <c r="H44" s="3" t="n">
        <v>1430</v>
      </c>
      <c r="I44" s="3" t="n">
        <v>1425</v>
      </c>
      <c r="J44" s="3" t="n">
        <v>1499.089</v>
      </c>
      <c r="K44" s="4" t="n">
        <f aca="false">J44/I44-1</f>
        <v>0.0519922807017543</v>
      </c>
      <c r="L44" s="4" t="n">
        <f aca="false">J44/H44-1</f>
        <v>0.0483139860139861</v>
      </c>
      <c r="M44" s="9" t="s">
        <v>50</v>
      </c>
      <c r="N44" s="4" t="n">
        <v>0.1106</v>
      </c>
      <c r="O44" s="3" t="n">
        <v>1499.089</v>
      </c>
      <c r="P44" s="3" t="n">
        <v>1406.907</v>
      </c>
      <c r="Q44" s="3" t="n">
        <v>1365.93</v>
      </c>
      <c r="R44" s="3" t="n">
        <v>1300.402</v>
      </c>
      <c r="S44" s="3" t="n">
        <v>1228.425</v>
      </c>
      <c r="T44" s="3" t="n">
        <v>117.317</v>
      </c>
      <c r="U44" s="3" t="n">
        <v>107.666</v>
      </c>
      <c r="V44" s="3" t="n">
        <v>73.662</v>
      </c>
      <c r="W44" s="3" t="n">
        <v>40.948</v>
      </c>
      <c r="X44" s="3" t="n">
        <v>36.989</v>
      </c>
      <c r="Y44" s="4" t="n">
        <f aca="false">IF(AND(ISNUMBER(O44),ISNUMBER(S44),S44&lt;&gt;0),O44/S44-1,"")</f>
        <v>0.220334167735108</v>
      </c>
      <c r="Z44" s="4" t="n">
        <v>2.17167265943929</v>
      </c>
      <c r="AA44" s="4" t="n">
        <f aca="false">IF(AND(ISNUMBER(O44),ISNUMBER(P44),P44&lt;&gt;0),O44/P44-1,"")</f>
        <v>0.0655210330178186</v>
      </c>
      <c r="AB44" s="4" t="n">
        <f aca="false">IF(AND(ISNUMBER(P44),ISNUMBER(Q44),Q44&lt;&gt;0),P44/Q44-1,"")</f>
        <v>0.0299993411082558</v>
      </c>
      <c r="AC44" s="4" t="n">
        <f aca="false">IF(AND(ISNUMBER(Q44),ISNUMBER(R44),R44&lt;&gt;0),Q44/R44-1,"")</f>
        <v>0.0503905715309574</v>
      </c>
      <c r="AD44" s="4" t="n">
        <f aca="false">IF(AND(ISNUMBER(R44),ISNUMBER(S44),S44&lt;&gt;0),R44/S44-1,"")</f>
        <v>0.0585929136902945</v>
      </c>
      <c r="AE44" s="6" t="n">
        <v>101.330001831055</v>
      </c>
      <c r="AF44" s="6" t="n">
        <v>299.660003662109</v>
      </c>
      <c r="AG44" s="4" t="n">
        <f aca="false">IF(AND(ISNUMBER(AE44),ISNUMBER(AF44)),AF44/AE44-1,"")</f>
        <v>1.95726831389706</v>
      </c>
      <c r="AH44" s="7" t="n">
        <v>37.959114</v>
      </c>
      <c r="AI44" s="7" t="n">
        <v>41.700844</v>
      </c>
      <c r="AJ44" s="5" t="s">
        <v>243</v>
      </c>
      <c r="AK44" s="8" t="s">
        <v>45</v>
      </c>
    </row>
    <row r="45" customFormat="false" ht="15" hidden="false" customHeight="false" outlineLevel="0" collapsed="false">
      <c r="A45" s="0" t="s">
        <v>244</v>
      </c>
      <c r="B45" s="0" t="s">
        <v>245</v>
      </c>
      <c r="C45" s="0" t="s">
        <v>54</v>
      </c>
      <c r="D45" s="9" t="s">
        <v>246</v>
      </c>
      <c r="E45" s="0" t="s">
        <v>56</v>
      </c>
      <c r="F45" s="0" t="s">
        <v>247</v>
      </c>
      <c r="G45" s="3" t="n">
        <v>815</v>
      </c>
      <c r="H45" s="3" t="n">
        <v>850</v>
      </c>
      <c r="I45" s="3" t="n">
        <v>832.5</v>
      </c>
      <c r="J45" s="3" t="n">
        <v>875.549</v>
      </c>
      <c r="K45" s="4" t="n">
        <f aca="false">J45/I45-1</f>
        <v>0.0517105105105105</v>
      </c>
      <c r="L45" s="4" t="n">
        <f aca="false">J45/H45-1</f>
        <v>0.0300576470588234</v>
      </c>
      <c r="M45" s="9" t="s">
        <v>50</v>
      </c>
      <c r="N45" s="4" t="n">
        <v>0.123100005</v>
      </c>
      <c r="O45" s="3" t="n">
        <v>875.549</v>
      </c>
      <c r="P45" s="3" t="n">
        <v>839.908</v>
      </c>
      <c r="Q45" s="3" t="n">
        <v>334.585</v>
      </c>
      <c r="R45" s="3" t="n">
        <v>982.131</v>
      </c>
      <c r="S45" s="3" t="n">
        <v>796.799</v>
      </c>
      <c r="T45" s="3" t="n">
        <v>148.48</v>
      </c>
      <c r="U45" s="3" t="n">
        <v>134.893</v>
      </c>
      <c r="V45" s="3" t="n">
        <v>130.063</v>
      </c>
      <c r="W45" s="3" t="n">
        <v>157.689</v>
      </c>
      <c r="X45" s="3" t="n">
        <v>148.504</v>
      </c>
      <c r="Y45" s="4" t="n">
        <f aca="false">IF(AND(ISNUMBER(O45),ISNUMBER(S45),S45&lt;&gt;0),O45/S45-1,"")</f>
        <v>0.0988329553626448</v>
      </c>
      <c r="Z45" s="4" t="n">
        <v>-0.000161611808436102</v>
      </c>
      <c r="AA45" s="4" t="n">
        <f aca="false">IF(AND(ISNUMBER(O45),ISNUMBER(P45),P45&lt;&gt;0),O45/P45-1,"")</f>
        <v>0.0424344094829434</v>
      </c>
      <c r="AB45" s="4" t="n">
        <f aca="false">IF(AND(ISNUMBER(P45),ISNUMBER(Q45),Q45&lt;&gt;0),P45/Q45-1,"")</f>
        <v>1.51029783164218</v>
      </c>
      <c r="AC45" s="4" t="n">
        <f aca="false">IF(AND(ISNUMBER(Q45),ISNUMBER(R45),R45&lt;&gt;0),Q45/R45-1,"")</f>
        <v>-0.659327523517739</v>
      </c>
      <c r="AD45" s="4" t="n">
        <f aca="false">IF(AND(ISNUMBER(R45),ISNUMBER(S45),S45&lt;&gt;0),R45/S45-1,"")</f>
        <v>0.232595673438345</v>
      </c>
      <c r="AE45" s="6" t="n">
        <v>105.913116455078</v>
      </c>
      <c r="AF45" s="6" t="n">
        <v>108.029998779297</v>
      </c>
      <c r="AG45" s="4" t="n">
        <f aca="false">IF(AND(ISNUMBER(AE45),ISNUMBER(AF45)),AF45/AE45-1,"")</f>
        <v>0.0199869704062259</v>
      </c>
      <c r="AH45" s="7" t="n">
        <v>16.507599</v>
      </c>
      <c r="AI45" s="7" t="n">
        <v>13.914136</v>
      </c>
      <c r="AJ45" s="5" t="s">
        <v>248</v>
      </c>
      <c r="AK45" s="8" t="s">
        <v>45</v>
      </c>
    </row>
    <row r="46" customFormat="false" ht="15" hidden="false" customHeight="false" outlineLevel="0" collapsed="false">
      <c r="A46" s="0" t="s">
        <v>249</v>
      </c>
      <c r="B46" s="0" t="s">
        <v>250</v>
      </c>
      <c r="C46" s="0" t="s">
        <v>39</v>
      </c>
      <c r="D46" s="9" t="s">
        <v>251</v>
      </c>
      <c r="E46" s="0" t="s">
        <v>56</v>
      </c>
      <c r="F46" s="0" t="s">
        <v>252</v>
      </c>
      <c r="G46" s="3" t="n">
        <v>5000</v>
      </c>
      <c r="H46" s="3" t="n">
        <v>5400</v>
      </c>
      <c r="I46" s="3" t="n">
        <v>5200</v>
      </c>
      <c r="J46" s="3" t="n">
        <v>5463</v>
      </c>
      <c r="K46" s="4" t="n">
        <f aca="false">J46/I46-1</f>
        <v>0.0505769230769231</v>
      </c>
      <c r="L46" s="4" t="n">
        <f aca="false">J46/H46-1</f>
        <v>0.0116666666666667</v>
      </c>
      <c r="M46" s="9" t="s">
        <v>50</v>
      </c>
      <c r="N46" s="4" t="n">
        <v>0.10479999</v>
      </c>
      <c r="O46" s="3" t="n">
        <v>5463</v>
      </c>
      <c r="P46" s="3" t="n">
        <v>4825</v>
      </c>
      <c r="Q46" s="3" t="n">
        <v>4423</v>
      </c>
      <c r="R46" s="3" t="n">
        <v>4742</v>
      </c>
      <c r="S46" s="3" t="n">
        <v>4448</v>
      </c>
      <c r="T46" s="3" t="n">
        <v>2327</v>
      </c>
      <c r="U46" s="3" t="n">
        <v>1825</v>
      </c>
      <c r="V46" s="3" t="n">
        <v>1505</v>
      </c>
      <c r="W46" s="3" t="n">
        <v>1748</v>
      </c>
      <c r="X46" s="3" t="n">
        <v>1563</v>
      </c>
      <c r="Y46" s="4" t="n">
        <f aca="false">IF(AND(ISNUMBER(O46),ISNUMBER(S46),S46&lt;&gt;0),O46/S46-1,"")</f>
        <v>0.228192446043165</v>
      </c>
      <c r="Z46" s="4" t="n">
        <v>0.488803582853487</v>
      </c>
      <c r="AA46" s="4" t="n">
        <f aca="false">IF(AND(ISNUMBER(O46),ISNUMBER(P46),P46&lt;&gt;0),O46/P46-1,"")</f>
        <v>0.132227979274612</v>
      </c>
      <c r="AB46" s="4" t="n">
        <f aca="false">IF(AND(ISNUMBER(P46),ISNUMBER(Q46),Q46&lt;&gt;0),P46/Q46-1,"")</f>
        <v>0.0908885371919512</v>
      </c>
      <c r="AC46" s="4" t="n">
        <f aca="false">IF(AND(ISNUMBER(Q46),ISNUMBER(R46),R46&lt;&gt;0),Q46/R46-1,"")</f>
        <v>-0.0672711935892029</v>
      </c>
      <c r="AD46" s="4" t="n">
        <f aca="false">IF(AND(ISNUMBER(R46),ISNUMBER(S46),S46&lt;&gt;0),R46/S46-1,"")</f>
        <v>0.0660971223021583</v>
      </c>
      <c r="AE46" s="6" t="n">
        <v>182.039993286133</v>
      </c>
      <c r="AF46" s="6" t="n">
        <v>270.649993896484</v>
      </c>
      <c r="AG46" s="4" t="n">
        <f aca="false">IF(AND(ISNUMBER(AE46),ISNUMBER(AF46)),AF46/AE46-1,"")</f>
        <v>0.486761172700513</v>
      </c>
      <c r="AH46" s="7" t="n">
        <v>42.012157</v>
      </c>
      <c r="AI46" s="7" t="n">
        <v>25.969366</v>
      </c>
      <c r="AJ46" s="5" t="s">
        <v>253</v>
      </c>
      <c r="AK46" s="8" t="s">
        <v>45</v>
      </c>
    </row>
  </sheetData>
  <autoFilter ref="A1:AK46"/>
  <hyperlinks>
    <hyperlink ref="AK2" r:id="rId1" display="8-K 보기"/>
    <hyperlink ref="AK3" r:id="rId2" display="8-K 보기"/>
    <hyperlink ref="AK4" r:id="rId3" display="8-K 보기"/>
    <hyperlink ref="AK5" r:id="rId4" display="8-K 보기"/>
    <hyperlink ref="AK6" r:id="rId5" display="8-K 보기"/>
    <hyperlink ref="AK7" r:id="rId6" display="8-K 보기"/>
    <hyperlink ref="AK8" r:id="rId7" display="8-K 보기"/>
    <hyperlink ref="AK9" r:id="rId8" display="8-K 보기"/>
    <hyperlink ref="AK10" r:id="rId9" display="8-K 보기"/>
    <hyperlink ref="AK11" r:id="rId10" display="8-K 보기"/>
    <hyperlink ref="AK12" r:id="rId11" display="8-K 보기"/>
    <hyperlink ref="AK13" r:id="rId12" display="8-K 보기"/>
    <hyperlink ref="AK14" r:id="rId13" display="8-K 보기"/>
    <hyperlink ref="AK15" r:id="rId14" display="8-K 보기"/>
    <hyperlink ref="AK16" r:id="rId15" display="8-K 보기"/>
    <hyperlink ref="AK17" r:id="rId16" display="8-K 보기"/>
    <hyperlink ref="AK18" r:id="rId17" display="8-K 보기"/>
    <hyperlink ref="AK19" r:id="rId18" display="8-K 보기"/>
    <hyperlink ref="AK20" r:id="rId19" display="8-K 보기"/>
    <hyperlink ref="AK21" r:id="rId20" display="8-K 보기"/>
    <hyperlink ref="AK22" r:id="rId21" display="8-K 보기"/>
    <hyperlink ref="AK23" r:id="rId22" display="8-K 보기"/>
    <hyperlink ref="AK24" r:id="rId23" display="8-K 보기"/>
    <hyperlink ref="AK25" r:id="rId24" display="8-K 보기"/>
    <hyperlink ref="AK26" r:id="rId25" display="8-K 보기"/>
    <hyperlink ref="AK27" r:id="rId26" display="8-K 보기"/>
    <hyperlink ref="AK28" r:id="rId27" display="8-K 보기"/>
    <hyperlink ref="AK29" r:id="rId28" display="8-K 보기"/>
    <hyperlink ref="AK30" r:id="rId29" display="8-K 보기"/>
    <hyperlink ref="AK31" r:id="rId30" display="8-K 보기"/>
    <hyperlink ref="AK32" r:id="rId31" display="8-K 보기"/>
    <hyperlink ref="AK33" r:id="rId32" display="8-K 보기"/>
    <hyperlink ref="AK34" r:id="rId33" display="8-K 보기"/>
    <hyperlink ref="AK35" r:id="rId34" display="8-K 보기"/>
    <hyperlink ref="AK36" r:id="rId35" display="8-K 보기"/>
    <hyperlink ref="AK37" r:id="rId36" display="8-K 보기"/>
    <hyperlink ref="AK38" r:id="rId37" display="8-K 보기"/>
    <hyperlink ref="AK39" r:id="rId38" display="8-K 보기"/>
    <hyperlink ref="AK40" r:id="rId39" display="8-K 보기"/>
    <hyperlink ref="AK41" r:id="rId40" display="8-K 보기"/>
    <hyperlink ref="AK42" r:id="rId41" display="8-K 보기"/>
    <hyperlink ref="AK43" r:id="rId42" display="8-K 보기"/>
    <hyperlink ref="AK44" r:id="rId43" display="8-K 보기"/>
    <hyperlink ref="AK45" r:id="rId44" display="8-K 보기"/>
    <hyperlink ref="AK46" r:id="rId45" display="8-K 보기"/>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4" min="3" style="0" width="12"/>
    <col collapsed="false" customWidth="true" hidden="false" outlineLevel="0" max="5" min="5" style="0" width="16"/>
    <col collapsed="false" customWidth="true" hidden="false" outlineLevel="0" max="6" min="6" style="0" width="18"/>
    <col collapsed="false" customWidth="true" hidden="false" outlineLevel="0" max="7" min="7" style="0" width="90"/>
  </cols>
  <sheetData>
    <row r="1" customFormat="false" ht="45" hidden="false" customHeight="true" outlineLevel="0" collapsed="false">
      <c r="A1" s="1" t="s">
        <v>2</v>
      </c>
      <c r="B1" s="1" t="s">
        <v>254</v>
      </c>
      <c r="C1" s="1" t="s">
        <v>255</v>
      </c>
      <c r="D1" s="1" t="s">
        <v>256</v>
      </c>
      <c r="E1" s="1" t="s">
        <v>257</v>
      </c>
      <c r="F1" s="1" t="s">
        <v>258</v>
      </c>
      <c r="G1" s="1" t="s">
        <v>259</v>
      </c>
    </row>
    <row r="2" customFormat="false" ht="15" hidden="false" customHeight="false" outlineLevel="0" collapsed="false">
      <c r="A2" s="0" t="s">
        <v>78</v>
      </c>
      <c r="B2" s="0" t="n">
        <f aca="false">COUNTIF('전체 가이던스 비교'!$C$2:$C$152,A2)</f>
        <v>8</v>
      </c>
      <c r="C2" s="0" t="n">
        <f aca="false">COUNTIF('가이던스 상회 기업'!$C$2:$C$46,A2)</f>
        <v>1</v>
      </c>
      <c r="D2" s="4" t="n">
        <f aca="false">IF(B2&gt;0,C2/B2,"")</f>
        <v>0.125</v>
      </c>
      <c r="E2" s="4" t="n">
        <f aca="false" t="array" ref="E2:E2">IFERROR(MEDIAN(IF(('전체 가이던스 비교'!$C$2:$C$152=A2)*ISNUMBER('전체 가이던스 비교'!$J$2:$J$152),'전체 가이던스 비교'!$J$2:$J$152)),"")</f>
        <v>0.00982458597474079</v>
      </c>
      <c r="F2" s="4" t="n">
        <f aca="false" t="array" ref="F2:F2">IFERROR(MEDIAN(IF(('가이던스 상회 기업'!$C$2:$C$46=A2)*ISNUMBER('가이던스 상회 기업'!$AG$2:$AG$46),'가이던스 상회 기업'!$AG$2:$AG$46)),"")</f>
        <v>-0.34384532236003</v>
      </c>
      <c r="G2" s="5" t="s">
        <v>77</v>
      </c>
    </row>
    <row r="3" customFormat="false" ht="15" hidden="false" customHeight="false" outlineLevel="0" collapsed="false">
      <c r="A3" s="0" t="s">
        <v>180</v>
      </c>
      <c r="B3" s="0" t="n">
        <f aca="false">COUNTIF('전체 가이던스 비교'!$C$2:$C$152,A3)</f>
        <v>6</v>
      </c>
      <c r="C3" s="0" t="n">
        <f aca="false">COUNTIF('가이던스 상회 기업'!$C$2:$C$46,A3)</f>
        <v>1</v>
      </c>
      <c r="D3" s="4" t="n">
        <f aca="false">IF(B3&gt;0,C3/B3,"")</f>
        <v>0.166666666666667</v>
      </c>
      <c r="E3" s="4" t="n">
        <f aca="false" t="array" ref="E3:E3">IFERROR(MEDIAN(IF(('전체 가이던스 비교'!$C$2:$C$152=A3)*ISNUMBER('전체 가이던스 비교'!$J$2:$J$152),'전체 가이던스 비교'!$J$2:$J$152)),"")</f>
        <v>0.00138273491214663</v>
      </c>
      <c r="F3" s="4" t="n">
        <f aca="false" t="array" ref="F3:F3">IFERROR(MEDIAN(IF(('가이던스 상회 기업'!$C$2:$C$46=A3)*ISNUMBER('가이던스 상회 기업'!$AG$2:$AG$46),'가이던스 상회 기업'!$AG$2:$AG$46)),"")</f>
        <v>0.465726358381201</v>
      </c>
      <c r="G3" s="5" t="s">
        <v>179</v>
      </c>
    </row>
    <row r="4" customFormat="false" ht="15" hidden="false" customHeight="false" outlineLevel="0" collapsed="false">
      <c r="A4" s="0" t="s">
        <v>260</v>
      </c>
      <c r="B4" s="0" t="n">
        <f aca="false">COUNTIF('전체 가이던스 비교'!$C$2:$C$152,A4)</f>
        <v>2</v>
      </c>
      <c r="C4" s="0" t="n">
        <f aca="false">COUNTIF('가이던스 상회 기업'!$C$2:$C$46,A4)</f>
        <v>0</v>
      </c>
      <c r="D4" s="4" t="n">
        <f aca="false">IF(B4&gt;0,C4/B4,"")</f>
        <v>0</v>
      </c>
      <c r="E4" s="4" t="n">
        <f aca="false" t="array" ref="E4:E4">IFERROR(MEDIAN(IF(('전체 가이던스 비교'!$C$2:$C$152=A4)*ISNUMBER('전체 가이던스 비교'!$J$2:$J$152),'전체 가이던스 비교'!$J$2:$J$152)),"")</f>
        <v>0.00744571692348273</v>
      </c>
      <c r="F4" s="4" t="str">
        <f aca="false" t="array" ref="F4:F4">IFERROR(MEDIAN(IF(('가이던스 상회 기업'!$C$2:$C$46=A4)*ISNUMBER('가이던스 상회 기업'!$AG$2:$AG$46),'가이던스 상회 기업'!$AG$2:$AG$46)),"")</f>
        <v/>
      </c>
    </row>
    <row r="5" customFormat="false" ht="15" hidden="false" customHeight="false" outlineLevel="0" collapsed="false">
      <c r="A5" s="0" t="s">
        <v>261</v>
      </c>
      <c r="B5" s="0" t="n">
        <f aca="false">COUNTIF('전체 가이던스 비교'!$C$2:$C$152,A5)</f>
        <v>3</v>
      </c>
      <c r="C5" s="0" t="n">
        <f aca="false">COUNTIF('가이던스 상회 기업'!$C$2:$C$46,A5)</f>
        <v>0</v>
      </c>
      <c r="D5" s="4" t="n">
        <f aca="false">IF(B5&gt;0,C5/B5,"")</f>
        <v>0</v>
      </c>
      <c r="E5" s="4" t="n">
        <f aca="false" t="array" ref="E5:E5">IFERROR(MEDIAN(IF(('전체 가이던스 비교'!$C$2:$C$152=A5)*ISNUMBER('전체 가이던스 비교'!$J$2:$J$152),'전체 가이던스 비교'!$J$2:$J$152)),"")</f>
        <v>0.00434324324324331</v>
      </c>
      <c r="F5" s="4" t="str">
        <f aca="false" t="array" ref="F5:F5">IFERROR(MEDIAN(IF(('가이던스 상회 기업'!$C$2:$C$46=A5)*ISNUMBER('가이던스 상회 기업'!$AG$2:$AG$46),'가이던스 상회 기업'!$AG$2:$AG$46)),"")</f>
        <v/>
      </c>
    </row>
    <row r="6" customFormat="false" ht="15" hidden="false" customHeight="false" outlineLevel="0" collapsed="false">
      <c r="A6" s="0" t="s">
        <v>262</v>
      </c>
      <c r="B6" s="0" t="n">
        <f aca="false">COUNTIF('전체 가이던스 비교'!$C$2:$C$152,A6)</f>
        <v>5</v>
      </c>
      <c r="C6" s="0" t="n">
        <f aca="false">COUNTIF('가이던스 상회 기업'!$C$2:$C$46,A6)</f>
        <v>0</v>
      </c>
      <c r="D6" s="4" t="n">
        <f aca="false">IF(B6&gt;0,C6/B6,"")</f>
        <v>0</v>
      </c>
      <c r="E6" s="4" t="n">
        <f aca="false" t="array" ref="E6:E6">IFERROR(MEDIAN(IF(('전체 가이던스 비교'!$C$2:$C$152=A6)*ISNUMBER('전체 가이던스 비교'!$J$2:$J$152),'전체 가이던스 비교'!$J$2:$J$152)),"")</f>
        <v>0.0225237449118048</v>
      </c>
      <c r="F6" s="4" t="str">
        <f aca="false" t="array" ref="F6:F6">IFERROR(MEDIAN(IF(('가이던스 상회 기업'!$C$2:$C$46=A6)*ISNUMBER('가이던스 상회 기업'!$AG$2:$AG$46),'가이던스 상회 기업'!$AG$2:$AG$46)),"")</f>
        <v/>
      </c>
    </row>
    <row r="7" customFormat="false" ht="15" hidden="false" customHeight="false" outlineLevel="0" collapsed="false">
      <c r="A7" s="0" t="s">
        <v>263</v>
      </c>
      <c r="B7" s="0" t="n">
        <f aca="false">COUNTIF('전체 가이던스 비교'!$C$2:$C$152,A7)</f>
        <v>6</v>
      </c>
      <c r="C7" s="0" t="n">
        <f aca="false">COUNTIF('가이던스 상회 기업'!$C$2:$C$46,A7)</f>
        <v>0</v>
      </c>
      <c r="D7" s="4" t="n">
        <f aca="false">IF(B7&gt;0,C7/B7,"")</f>
        <v>0</v>
      </c>
      <c r="E7" s="4" t="n">
        <f aca="false" t="array" ref="E7:E7">IFERROR(MEDIAN(IF(('전체 가이던스 비교'!$C$2:$C$152=A7)*ISNUMBER('전체 가이던스 비교'!$J$2:$J$152),'전체 가이던스 비교'!$J$2:$J$152)),"")</f>
        <v>0.0304289972439413</v>
      </c>
      <c r="F7" s="4" t="str">
        <f aca="false" t="array" ref="F7:F7">IFERROR(MEDIAN(IF(('가이던스 상회 기업'!$C$2:$C$46=A7)*ISNUMBER('가이던스 상회 기업'!$AG$2:$AG$46),'가이던스 상회 기업'!$AG$2:$AG$46)),"")</f>
        <v/>
      </c>
    </row>
    <row r="8" customFormat="false" ht="15" hidden="false" customHeight="false" outlineLevel="0" collapsed="false">
      <c r="A8" s="0" t="s">
        <v>54</v>
      </c>
      <c r="B8" s="0" t="n">
        <f aca="false">COUNTIF('전체 가이던스 비교'!$C$2:$C$152,A8)</f>
        <v>16</v>
      </c>
      <c r="C8" s="0" t="n">
        <f aca="false">COUNTIF('가이던스 상회 기업'!$C$2:$C$46,A8)</f>
        <v>6</v>
      </c>
      <c r="D8" s="4" t="n">
        <f aca="false">IF(B8&gt;0,C8/B8,"")</f>
        <v>0.375</v>
      </c>
      <c r="E8" s="4" t="n">
        <f aca="false" t="array" ref="E8:E8">IFERROR(MEDIAN(IF(('전체 가이던스 비교'!$C$2:$C$152=A8)*ISNUMBER('전체 가이던스 비교'!$J$2:$J$152),'전체 가이던스 비교'!$J$2:$J$152)),"")</f>
        <v>0.0360524483638895</v>
      </c>
      <c r="F8" s="4" t="n">
        <f aca="false" t="array" ref="F8:F8">IFERROR(MEDIAN(IF(('가이던스 상회 기업'!$C$2:$C$46=A8)*ISNUMBER('가이던스 상회 기업'!$AG$2:$AG$46),'가이던스 상회 기업'!$AG$2:$AG$46)),"")</f>
        <v>0.0199869704062259</v>
      </c>
      <c r="G8" s="5" t="s">
        <v>264</v>
      </c>
    </row>
    <row r="9" customFormat="false" ht="15" hidden="false" customHeight="false" outlineLevel="0" collapsed="false">
      <c r="A9" s="0" t="s">
        <v>39</v>
      </c>
      <c r="B9" s="0" t="n">
        <f aca="false">COUNTIF('전체 가이던스 비교'!$C$2:$C$152,A9)</f>
        <v>99</v>
      </c>
      <c r="C9" s="0" t="n">
        <f aca="false">COUNTIF('가이던스 상회 기업'!$C$2:$C$46,A9)</f>
        <v>35</v>
      </c>
      <c r="D9" s="4" t="n">
        <f aca="false">IF(B9&gt;0,C9/B9,"")</f>
        <v>0.353535353535354</v>
      </c>
      <c r="E9" s="4" t="n">
        <f aca="false" t="array" ref="E9:E9">IFERROR(MEDIAN(IF(('전체 가이던스 비교'!$C$2:$C$152=A9)*ISNUMBER('전체 가이던스 비교'!$J$2:$J$152),'전체 가이던스 비교'!$J$2:$J$152)),"")</f>
        <v>0.0312561538461538</v>
      </c>
      <c r="F9" s="4" t="n">
        <f aca="false" t="array" ref="F9:F9">IFERROR(MEDIAN(IF(('가이던스 상회 기업'!$C$2:$C$46=A9)*ISNUMBER('가이던스 상회 기업'!$AG$2:$AG$46),'가이던스 상회 기업'!$AG$2:$AG$46)),"")</f>
        <v>0.633986435158523</v>
      </c>
      <c r="G9" s="5" t="s">
        <v>265</v>
      </c>
    </row>
    <row r="10" customFormat="false" ht="15" hidden="false" customHeight="false" outlineLevel="0" collapsed="false">
      <c r="A10" s="0" t="s">
        <v>105</v>
      </c>
      <c r="B10" s="0" t="n">
        <f aca="false">COUNTIF('전체 가이던스 비교'!$C$2:$C$152,A10)</f>
        <v>2</v>
      </c>
      <c r="C10" s="0" t="n">
        <f aca="false">COUNTIF('가이던스 상회 기업'!$C$2:$C$46,A10)</f>
        <v>2</v>
      </c>
      <c r="D10" s="4" t="n">
        <f aca="false">IF(B10&gt;0,C10/B10,"")</f>
        <v>1</v>
      </c>
      <c r="E10" s="4" t="n">
        <f aca="false" t="array" ref="E10:E10">IFERROR(MEDIAN(IF(('전체 가이던스 비교'!$C$2:$C$152=A10)*ISNUMBER('전체 가이던스 비교'!$J$2:$J$152),'전체 가이던스 비교'!$J$2:$J$152)),"")</f>
        <v>0.083766125676238</v>
      </c>
      <c r="F10" s="4" t="n">
        <f aca="false" t="array" ref="F10:F10">IFERROR(MEDIAN(IF(('가이던스 상회 기업'!$C$2:$C$46=A10)*ISNUMBER('가이던스 상회 기업'!$AG$2:$AG$46),'가이던스 상회 기업'!$AG$2:$AG$46)),"")</f>
        <v>0.403980643746062</v>
      </c>
      <c r="G10" s="5" t="s">
        <v>266</v>
      </c>
    </row>
    <row r="11" customFormat="false" ht="15" hidden="false" customHeight="false" outlineLevel="0" collapsed="false">
      <c r="A11" s="0" t="s">
        <v>267</v>
      </c>
      <c r="B11" s="0" t="n">
        <f aca="false">COUNTIF('전체 가이던스 비교'!$C$2:$C$152,A11)</f>
        <v>4</v>
      </c>
      <c r="C11" s="0" t="n">
        <f aca="false">COUNTIF('가이던스 상회 기업'!$C$2:$C$46,A11)</f>
        <v>0</v>
      </c>
      <c r="D11" s="4" t="n">
        <f aca="false">IF(B11&gt;0,C11/B11,"")</f>
        <v>0</v>
      </c>
      <c r="E11" s="4" t="n">
        <f aca="false" t="array" ref="E11:E11">IFERROR(MEDIAN(IF(('전체 가이던스 비교'!$C$2:$C$152=A11)*ISNUMBER('전체 가이던스 비교'!$J$2:$J$152),'전체 가이던스 비교'!$J$2:$J$152)),"")</f>
        <v>0.005482424640601</v>
      </c>
      <c r="F11" s="4" t="str">
        <f aca="false" t="array" ref="F11:F11">IFERROR(MEDIAN(IF(('가이던스 상회 기업'!$C$2:$C$46=A11)*ISNUMBER('가이던스 상회 기업'!$AG$2:$AG$46),'가이던스 상회 기업'!$AG$2:$AG$46)),"")</f>
        <v/>
      </c>
    </row>
    <row r="12" customFormat="false" ht="15" hidden="false" customHeight="false" outlineLevel="0" collapsed="false">
      <c r="A12" s="12" t="s">
        <v>268</v>
      </c>
      <c r="B12" s="5" t="n">
        <f aca="false">SUM(B2:B11)</f>
        <v>151</v>
      </c>
      <c r="C12" s="5" t="n">
        <f aca="false">SUM(C2:C11)</f>
        <v>45</v>
      </c>
      <c r="D12" s="4" t="n">
        <f aca="false">IF(B12&gt;0,C12/B12,"")</f>
        <v>0.298013245033113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18"/>
    <col collapsed="false" customWidth="true" hidden="false" outlineLevel="0" max="4" min="4" style="0" width="11"/>
    <col collapsed="false" customWidth="true" hidden="false" outlineLevel="0" max="9" min="5" style="0" width="12"/>
    <col collapsed="false" customWidth="true" hidden="false" outlineLevel="0" max="11" min="10" style="0" width="11"/>
    <col collapsed="false" customWidth="true" hidden="false" outlineLevel="0" max="12" min="12" style="0" width="8"/>
    <col collapsed="false" customWidth="true" hidden="false" outlineLevel="0" max="13" min="13" style="0" width="11"/>
    <col collapsed="false" customWidth="true" hidden="false" outlineLevel="0" max="14" min="14" style="0" width="80"/>
    <col collapsed="false" customWidth="true" hidden="false" outlineLevel="0" max="15" min="15" style="0" width="10"/>
    <col collapsed="false" customWidth="true" hidden="false" outlineLevel="0" max="16" min="16" style="0" width="12"/>
  </cols>
  <sheetData>
    <row r="1" customFormat="false" ht="45" hidden="false" customHeight="true" outlineLevel="0" collapsed="false">
      <c r="A1" s="1" t="s">
        <v>0</v>
      </c>
      <c r="B1" s="1" t="s">
        <v>1</v>
      </c>
      <c r="C1" s="1" t="s">
        <v>2</v>
      </c>
      <c r="D1" s="2" t="s">
        <v>269</v>
      </c>
      <c r="E1" s="1" t="s">
        <v>270</v>
      </c>
      <c r="F1" s="1" t="s">
        <v>271</v>
      </c>
      <c r="G1" s="1" t="s">
        <v>8</v>
      </c>
      <c r="H1" s="2" t="s">
        <v>9</v>
      </c>
      <c r="I1" s="1" t="s">
        <v>12</v>
      </c>
      <c r="J1" s="1" t="s">
        <v>10</v>
      </c>
      <c r="K1" s="1" t="s">
        <v>11</v>
      </c>
      <c r="L1" s="1" t="s">
        <v>272</v>
      </c>
      <c r="M1" s="1" t="s">
        <v>24</v>
      </c>
      <c r="N1" s="1" t="s">
        <v>273</v>
      </c>
      <c r="O1" s="2" t="s">
        <v>36</v>
      </c>
      <c r="P1" s="1" t="s">
        <v>274</v>
      </c>
    </row>
    <row r="2" customFormat="false" ht="15" hidden="false" customHeight="false" outlineLevel="0" collapsed="false">
      <c r="A2" s="0" t="s">
        <v>37</v>
      </c>
      <c r="B2" s="0" t="s">
        <v>38</v>
      </c>
      <c r="C2" s="0" t="s">
        <v>39</v>
      </c>
      <c r="D2" s="0" t="s">
        <v>41</v>
      </c>
      <c r="E2" s="3" t="n">
        <v>32750</v>
      </c>
      <c r="F2" s="3" t="n">
        <v>34250</v>
      </c>
      <c r="G2" s="3" t="n">
        <v>33500</v>
      </c>
      <c r="H2" s="3" t="n">
        <v>41456</v>
      </c>
      <c r="I2" s="5" t="s">
        <v>43</v>
      </c>
      <c r="J2" s="4" t="n">
        <f aca="false">H2/G2-1</f>
        <v>0.237492537313433</v>
      </c>
      <c r="K2" s="4" t="n">
        <f aca="false">H2/F2-1</f>
        <v>0.210394160583942</v>
      </c>
      <c r="L2" s="0" t="str">
        <f aca="false">IF(AND(J2&gt;=0.05,K2&gt;0),"예","")</f>
        <v>예</v>
      </c>
      <c r="M2" s="4" t="n">
        <v>3.45715514460811</v>
      </c>
      <c r="N2" s="5" t="s">
        <v>44</v>
      </c>
      <c r="O2" s="8" t="s">
        <v>45</v>
      </c>
      <c r="P2" s="9" t="s">
        <v>275</v>
      </c>
    </row>
    <row r="3" customFormat="false" ht="15" hidden="false" customHeight="false" outlineLevel="0" collapsed="false">
      <c r="A3" s="0" t="s">
        <v>46</v>
      </c>
      <c r="B3" s="0" t="s">
        <v>47</v>
      </c>
      <c r="C3" s="0" t="s">
        <v>39</v>
      </c>
      <c r="D3" s="0" t="s">
        <v>41</v>
      </c>
      <c r="E3" s="3" t="n">
        <v>16100</v>
      </c>
      <c r="F3" s="3" t="n">
        <v>16900</v>
      </c>
      <c r="G3" s="3" t="n">
        <v>16500</v>
      </c>
      <c r="H3" s="3" t="n">
        <v>19574.813</v>
      </c>
      <c r="I3" s="9" t="s">
        <v>50</v>
      </c>
      <c r="J3" s="4" t="n">
        <f aca="false">H3/G3-1</f>
        <v>0.186352303030303</v>
      </c>
      <c r="K3" s="4" t="n">
        <f aca="false">H3/F3-1</f>
        <v>0.158272958579882</v>
      </c>
      <c r="L3" s="0" t="str">
        <f aca="false">IF(AND(J3&gt;=0.05,K3&gt;0),"예","")</f>
        <v>예</v>
      </c>
      <c r="M3" s="4" t="n">
        <v>0.309674859656042</v>
      </c>
      <c r="N3" s="5" t="s">
        <v>51</v>
      </c>
      <c r="O3" s="8" t="s">
        <v>45</v>
      </c>
      <c r="P3" s="9" t="s">
        <v>275</v>
      </c>
    </row>
    <row r="4" customFormat="false" ht="15" hidden="false" customHeight="false" outlineLevel="0" collapsed="false">
      <c r="A4" s="0" t="s">
        <v>52</v>
      </c>
      <c r="B4" s="0" t="s">
        <v>53</v>
      </c>
      <c r="C4" s="0" t="s">
        <v>54</v>
      </c>
      <c r="D4" s="0" t="s">
        <v>56</v>
      </c>
      <c r="E4" s="3" t="n">
        <v>400</v>
      </c>
      <c r="F4" s="3" t="n">
        <v>410</v>
      </c>
      <c r="G4" s="3" t="n">
        <v>405</v>
      </c>
      <c r="H4" s="3" t="n">
        <v>458.8</v>
      </c>
      <c r="I4" s="9" t="s">
        <v>50</v>
      </c>
      <c r="J4" s="4" t="n">
        <f aca="false">H4/G4-1</f>
        <v>0.13283950617284</v>
      </c>
      <c r="K4" s="4" t="n">
        <f aca="false">H4/F4-1</f>
        <v>0.119024390243903</v>
      </c>
      <c r="L4" s="0" t="str">
        <f aca="false">IF(AND(J4&gt;=0.05,K4&gt;0),"예","")</f>
        <v>예</v>
      </c>
      <c r="M4" s="4" t="n">
        <v>0.305263157894737</v>
      </c>
      <c r="N4" s="5" t="s">
        <v>59</v>
      </c>
      <c r="O4" s="8" t="s">
        <v>45</v>
      </c>
      <c r="P4" s="9" t="s">
        <v>275</v>
      </c>
    </row>
    <row r="5" customFormat="false" ht="15" hidden="false" customHeight="false" outlineLevel="0" collapsed="false">
      <c r="A5" s="0" t="s">
        <v>60</v>
      </c>
      <c r="B5" s="0" t="s">
        <v>61</v>
      </c>
      <c r="C5" s="0" t="s">
        <v>39</v>
      </c>
      <c r="D5" s="0" t="s">
        <v>56</v>
      </c>
      <c r="E5" s="3" t="n">
        <v>13800</v>
      </c>
      <c r="F5" s="3" t="n">
        <v>14800</v>
      </c>
      <c r="G5" s="3" t="n">
        <v>14300</v>
      </c>
      <c r="H5" s="3" t="n">
        <v>16128</v>
      </c>
      <c r="I5" s="9" t="s">
        <v>50</v>
      </c>
      <c r="J5" s="4" t="n">
        <f aca="false">H5/G5-1</f>
        <v>0.127832167832168</v>
      </c>
      <c r="K5" s="4" t="n">
        <f aca="false">H5/F5-1</f>
        <v>0.0897297297297297</v>
      </c>
      <c r="L5" s="0" t="str">
        <f aca="false">IF(AND(J5&gt;=0.05,K5&gt;0),"예","")</f>
        <v>예</v>
      </c>
      <c r="M5" s="4" t="n">
        <v>0.254218835057158</v>
      </c>
      <c r="N5" s="5" t="s">
        <v>65</v>
      </c>
      <c r="O5" s="8" t="s">
        <v>45</v>
      </c>
      <c r="P5" s="9" t="s">
        <v>275</v>
      </c>
    </row>
    <row r="6" customFormat="false" ht="15" hidden="false" customHeight="false" outlineLevel="0" collapsed="false">
      <c r="A6" s="0" t="s">
        <v>66</v>
      </c>
      <c r="B6" s="0" t="s">
        <v>67</v>
      </c>
      <c r="C6" s="0" t="s">
        <v>39</v>
      </c>
      <c r="D6" s="0" t="s">
        <v>56</v>
      </c>
      <c r="E6" s="3" t="n">
        <v>7750</v>
      </c>
      <c r="F6" s="3" t="n">
        <v>8250</v>
      </c>
      <c r="G6" s="3" t="n">
        <v>8000</v>
      </c>
      <c r="H6" s="3" t="n">
        <v>8965</v>
      </c>
      <c r="I6" s="9" t="s">
        <v>50</v>
      </c>
      <c r="J6" s="4" t="n">
        <f aca="false">H6/G6-1</f>
        <v>0.120625</v>
      </c>
      <c r="K6" s="4" t="n">
        <f aca="false">H6/F6-1</f>
        <v>0.0866666666666667</v>
      </c>
      <c r="L6" s="0" t="str">
        <f aca="false">IF(AND(J6&gt;=0.05,K6&gt;0),"예","")</f>
        <v>예</v>
      </c>
      <c r="M6" s="4" t="n">
        <v>3.71593897948448</v>
      </c>
      <c r="N6" s="5" t="s">
        <v>70</v>
      </c>
      <c r="O6" s="8" t="s">
        <v>45</v>
      </c>
      <c r="P6" s="9" t="s">
        <v>275</v>
      </c>
    </row>
    <row r="7" customFormat="false" ht="15" hidden="false" customHeight="false" outlineLevel="0" collapsed="false">
      <c r="A7" s="0" t="s">
        <v>71</v>
      </c>
      <c r="B7" s="0" t="s">
        <v>72</v>
      </c>
      <c r="C7" s="0" t="s">
        <v>54</v>
      </c>
      <c r="D7" s="0" t="s">
        <v>56</v>
      </c>
      <c r="E7" s="3" t="n">
        <v>392</v>
      </c>
      <c r="F7" s="3" t="n">
        <v>432</v>
      </c>
      <c r="G7" s="3" t="n">
        <v>412</v>
      </c>
      <c r="H7" s="3" t="n">
        <v>461.672</v>
      </c>
      <c r="I7" s="9" t="s">
        <v>50</v>
      </c>
      <c r="J7" s="4" t="n">
        <f aca="false">H7/G7-1</f>
        <v>0.120563106796117</v>
      </c>
      <c r="K7" s="4" t="n">
        <f aca="false">H7/F7-1</f>
        <v>0.0686851851851853</v>
      </c>
      <c r="L7" s="0" t="str">
        <f aca="false">IF(AND(J7&gt;=0.05,K7&gt;0),"예","")</f>
        <v>예</v>
      </c>
      <c r="M7" s="4" t="n">
        <v>0.942957666457643</v>
      </c>
      <c r="N7" s="5" t="s">
        <v>75</v>
      </c>
      <c r="O7" s="8" t="s">
        <v>45</v>
      </c>
      <c r="P7" s="9" t="s">
        <v>275</v>
      </c>
    </row>
    <row r="8" customFormat="false" ht="15" hidden="false" customHeight="false" outlineLevel="0" collapsed="false">
      <c r="A8" s="0" t="s">
        <v>76</v>
      </c>
      <c r="B8" s="0" t="s">
        <v>77</v>
      </c>
      <c r="C8" s="0" t="s">
        <v>78</v>
      </c>
      <c r="D8" s="0" t="s">
        <v>56</v>
      </c>
      <c r="E8" s="3" t="n">
        <v>715</v>
      </c>
      <c r="F8" s="3" t="n">
        <v>725</v>
      </c>
      <c r="G8" s="3" t="n">
        <v>720</v>
      </c>
      <c r="H8" s="3" t="n">
        <v>804.905</v>
      </c>
      <c r="I8" s="9" t="s">
        <v>50</v>
      </c>
      <c r="J8" s="4" t="n">
        <f aca="false">H8/G8-1</f>
        <v>0.117923611111111</v>
      </c>
      <c r="K8" s="4" t="n">
        <f aca="false">H8/F8-1</f>
        <v>0.110213793103448</v>
      </c>
      <c r="L8" s="0" t="str">
        <f aca="false">IF(AND(J8&gt;=0.05,K8&gt;0),"예","")</f>
        <v>예</v>
      </c>
      <c r="M8" s="4" t="n">
        <v>0.611011814813851</v>
      </c>
      <c r="N8" s="5" t="s">
        <v>81</v>
      </c>
      <c r="O8" s="8" t="s">
        <v>45</v>
      </c>
      <c r="P8" s="9" t="s">
        <v>275</v>
      </c>
    </row>
    <row r="9" customFormat="false" ht="15" hidden="false" customHeight="false" outlineLevel="0" collapsed="false">
      <c r="A9" s="0" t="s">
        <v>82</v>
      </c>
      <c r="B9" s="0" t="s">
        <v>83</v>
      </c>
      <c r="C9" s="0" t="s">
        <v>39</v>
      </c>
      <c r="D9" s="0" t="s">
        <v>56</v>
      </c>
      <c r="E9" s="3" t="n">
        <v>7300</v>
      </c>
      <c r="F9" s="3" t="n">
        <v>7600</v>
      </c>
      <c r="G9" s="3" t="n">
        <v>7450</v>
      </c>
      <c r="H9" s="3" t="n">
        <v>8295.377</v>
      </c>
      <c r="I9" s="9" t="s">
        <v>50</v>
      </c>
      <c r="J9" s="4" t="n">
        <f aca="false">H9/G9-1</f>
        <v>0.113473422818792</v>
      </c>
      <c r="K9" s="4" t="n">
        <f aca="false">H9/F9-1</f>
        <v>0.0914969736842106</v>
      </c>
      <c r="L9" s="0" t="str">
        <f aca="false">IF(AND(J9&gt;=0.05,K9&gt;0),"예","")</f>
        <v>예</v>
      </c>
      <c r="M9" s="4" t="n">
        <v>0.4766250815489</v>
      </c>
      <c r="N9" s="5" t="s">
        <v>85</v>
      </c>
      <c r="O9" s="8" t="s">
        <v>45</v>
      </c>
      <c r="P9" s="9" t="s">
        <v>275</v>
      </c>
    </row>
    <row r="10" customFormat="false" ht="15" hidden="false" customHeight="false" outlineLevel="0" collapsed="false">
      <c r="A10" s="0" t="s">
        <v>86</v>
      </c>
      <c r="B10" s="0" t="s">
        <v>87</v>
      </c>
      <c r="C10" s="0" t="s">
        <v>54</v>
      </c>
      <c r="D10" s="0" t="s">
        <v>89</v>
      </c>
      <c r="E10" s="3" t="n">
        <v>102</v>
      </c>
      <c r="F10" s="3" t="n">
        <v>107</v>
      </c>
      <c r="G10" s="3" t="n">
        <v>104.5</v>
      </c>
      <c r="H10" s="3" t="n">
        <v>116.052</v>
      </c>
      <c r="I10" s="9" t="s">
        <v>50</v>
      </c>
      <c r="J10" s="4" t="n">
        <f aca="false">H10/G10-1</f>
        <v>0.110545454545455</v>
      </c>
      <c r="K10" s="4" t="n">
        <f aca="false">H10/F10-1</f>
        <v>0.0845981308411217</v>
      </c>
      <c r="L10" s="0" t="str">
        <f aca="false">IF(AND(J10&gt;=0.05,K10&gt;0),"예","")</f>
        <v>예</v>
      </c>
      <c r="M10" s="4" t="n">
        <v>0.581391546071458</v>
      </c>
      <c r="N10" s="5" t="s">
        <v>92</v>
      </c>
      <c r="O10" s="8" t="s">
        <v>45</v>
      </c>
      <c r="P10" s="9" t="s">
        <v>275</v>
      </c>
    </row>
    <row r="11" customFormat="false" ht="15" hidden="false" customHeight="false" outlineLevel="0" collapsed="false">
      <c r="A11" s="0" t="s">
        <v>93</v>
      </c>
      <c r="B11" s="0" t="s">
        <v>94</v>
      </c>
      <c r="C11" s="0" t="s">
        <v>39</v>
      </c>
      <c r="D11" s="0" t="s">
        <v>89</v>
      </c>
      <c r="E11" s="3" t="n">
        <v>1750</v>
      </c>
      <c r="F11" s="3" t="n">
        <v>1900</v>
      </c>
      <c r="G11" s="3" t="n">
        <v>1825</v>
      </c>
      <c r="H11" s="3" t="n">
        <v>2025</v>
      </c>
      <c r="I11" s="9" t="s">
        <v>50</v>
      </c>
      <c r="J11" s="4" t="n">
        <f aca="false">H11/G11-1</f>
        <v>0.10958904109589</v>
      </c>
      <c r="K11" s="4" t="n">
        <f aca="false">H11/F11-1</f>
        <v>0.0657894736842106</v>
      </c>
      <c r="L11" s="0" t="str">
        <f aca="false">IF(AND(J11&gt;=0.05,K11&gt;0),"예","")</f>
        <v>예</v>
      </c>
      <c r="M11" s="4" t="n">
        <v>0.298909557408595</v>
      </c>
      <c r="N11" s="5" t="s">
        <v>97</v>
      </c>
      <c r="O11" s="8" t="s">
        <v>45</v>
      </c>
      <c r="P11" s="9" t="s">
        <v>275</v>
      </c>
    </row>
    <row r="12" customFormat="false" ht="15" hidden="false" customHeight="false" outlineLevel="0" collapsed="false">
      <c r="A12" s="0" t="s">
        <v>98</v>
      </c>
      <c r="B12" s="0" t="s">
        <v>99</v>
      </c>
      <c r="C12" s="0" t="s">
        <v>39</v>
      </c>
      <c r="D12" s="0" t="s">
        <v>56</v>
      </c>
      <c r="E12" s="3" t="n">
        <v>1150</v>
      </c>
      <c r="F12" s="3" t="n">
        <v>1250</v>
      </c>
      <c r="G12" s="3" t="n">
        <v>1200</v>
      </c>
      <c r="H12" s="3" t="n">
        <v>1328.99</v>
      </c>
      <c r="I12" s="9" t="s">
        <v>50</v>
      </c>
      <c r="J12" s="4" t="n">
        <f aca="false">H12/G12-1</f>
        <v>0.107491666666667</v>
      </c>
      <c r="K12" s="4" t="n">
        <f aca="false">H12/F12-1</f>
        <v>0.0631919999999999</v>
      </c>
      <c r="L12" s="0" t="str">
        <f aca="false">IF(AND(J12&gt;=0.05,K12&gt;0),"예","")</f>
        <v>예</v>
      </c>
      <c r="M12" s="4" t="n">
        <v>1.03896305137949</v>
      </c>
      <c r="N12" s="5" t="s">
        <v>102</v>
      </c>
      <c r="O12" s="8" t="s">
        <v>45</v>
      </c>
      <c r="P12" s="9" t="s">
        <v>275</v>
      </c>
    </row>
    <row r="13" customFormat="false" ht="15" hidden="false" customHeight="false" outlineLevel="0" collapsed="false">
      <c r="A13" s="0" t="s">
        <v>103</v>
      </c>
      <c r="B13" s="0" t="s">
        <v>104</v>
      </c>
      <c r="C13" s="0" t="s">
        <v>105</v>
      </c>
      <c r="D13" s="0" t="s">
        <v>56</v>
      </c>
      <c r="E13" s="3" t="n">
        <v>1320</v>
      </c>
      <c r="F13" s="3" t="n">
        <v>1350</v>
      </c>
      <c r="G13" s="3" t="n">
        <v>1335</v>
      </c>
      <c r="H13" s="3" t="n">
        <v>1474.6</v>
      </c>
      <c r="I13" s="9" t="s">
        <v>50</v>
      </c>
      <c r="J13" s="4" t="n">
        <f aca="false">H13/G13-1</f>
        <v>0.104569288389513</v>
      </c>
      <c r="K13" s="4" t="n">
        <f aca="false">H13/F13-1</f>
        <v>0.0922962962962963</v>
      </c>
      <c r="L13" s="0" t="str">
        <f aca="false">IF(AND(J13&gt;=0.05,K13&gt;0),"예","")</f>
        <v>예</v>
      </c>
      <c r="M13" s="4" t="n">
        <v>0.638626514057118</v>
      </c>
      <c r="N13" s="5" t="s">
        <v>107</v>
      </c>
      <c r="O13" s="8" t="s">
        <v>45</v>
      </c>
      <c r="P13" s="9" t="s">
        <v>275</v>
      </c>
    </row>
    <row r="14" customFormat="false" ht="15" hidden="false" customHeight="false" outlineLevel="0" collapsed="false">
      <c r="A14" s="0" t="s">
        <v>108</v>
      </c>
      <c r="B14" s="0" t="s">
        <v>109</v>
      </c>
      <c r="C14" s="0" t="s">
        <v>39</v>
      </c>
      <c r="D14" s="0" t="s">
        <v>56</v>
      </c>
      <c r="E14" s="3" t="n">
        <v>890</v>
      </c>
      <c r="F14" s="3" t="n">
        <v>910</v>
      </c>
      <c r="G14" s="3" t="n">
        <v>900</v>
      </c>
      <c r="H14" s="3" t="n">
        <v>980.642</v>
      </c>
      <c r="I14" s="9" t="s">
        <v>50</v>
      </c>
      <c r="J14" s="4" t="n">
        <f aca="false">H14/G14-1</f>
        <v>0.0896022222222224</v>
      </c>
      <c r="K14" s="4" t="n">
        <f aca="false">H14/F14-1</f>
        <v>0.0776285714285714</v>
      </c>
      <c r="L14" s="0" t="str">
        <f aca="false">IF(AND(J14&gt;=0.05,K14&gt;0),"예","")</f>
        <v>예</v>
      </c>
      <c r="M14" s="4" t="n">
        <v>0.475594892367141</v>
      </c>
      <c r="N14" s="5" t="s">
        <v>111</v>
      </c>
      <c r="O14" s="8" t="s">
        <v>45</v>
      </c>
      <c r="P14" s="9" t="s">
        <v>275</v>
      </c>
    </row>
    <row r="15" customFormat="false" ht="15" hidden="false" customHeight="false" outlineLevel="0" collapsed="false">
      <c r="A15" s="0" t="s">
        <v>112</v>
      </c>
      <c r="B15" s="0" t="s">
        <v>113</v>
      </c>
      <c r="C15" s="0" t="s">
        <v>39</v>
      </c>
      <c r="D15" s="0" t="s">
        <v>56</v>
      </c>
      <c r="E15" s="3" t="n">
        <v>1830</v>
      </c>
      <c r="F15" s="3" t="n">
        <v>1930</v>
      </c>
      <c r="G15" s="3" t="n">
        <v>1880</v>
      </c>
      <c r="H15" s="3" t="n">
        <v>2047.9</v>
      </c>
      <c r="I15" s="9" t="s">
        <v>50</v>
      </c>
      <c r="J15" s="4" t="n">
        <f aca="false">H15/G15-1</f>
        <v>0.0893085106382978</v>
      </c>
      <c r="K15" s="4" t="n">
        <f aca="false">H15/F15-1</f>
        <v>0.0610880829015545</v>
      </c>
      <c r="L15" s="0" t="str">
        <f aca="false">IF(AND(J15&gt;=0.05,K15&gt;0),"예","")</f>
        <v>예</v>
      </c>
      <c r="M15" s="4" t="n">
        <v>0.25638036809816</v>
      </c>
      <c r="N15" s="5" t="s">
        <v>115</v>
      </c>
      <c r="O15" s="8" t="s">
        <v>45</v>
      </c>
      <c r="P15" s="9" t="s">
        <v>275</v>
      </c>
    </row>
    <row r="16" customFormat="false" ht="15" hidden="false" customHeight="false" outlineLevel="0" collapsed="false">
      <c r="A16" s="0" t="s">
        <v>116</v>
      </c>
      <c r="B16" s="0" t="s">
        <v>117</v>
      </c>
      <c r="C16" s="0" t="s">
        <v>39</v>
      </c>
      <c r="D16" s="0" t="s">
        <v>56</v>
      </c>
      <c r="E16" s="3" t="n">
        <v>175</v>
      </c>
      <c r="F16" s="3" t="n">
        <v>195</v>
      </c>
      <c r="G16" s="3" t="n">
        <v>185</v>
      </c>
      <c r="H16" s="3" t="n">
        <v>201.079</v>
      </c>
      <c r="I16" s="9" t="s">
        <v>50</v>
      </c>
      <c r="J16" s="4" t="n">
        <f aca="false">H16/G16-1</f>
        <v>0.0869135135135135</v>
      </c>
      <c r="K16" s="4" t="n">
        <f aca="false">H16/F16-1</f>
        <v>0.0311743589743589</v>
      </c>
      <c r="L16" s="0" t="str">
        <f aca="false">IF(AND(J16&gt;=0.05,K16&gt;0),"예","")</f>
        <v>예</v>
      </c>
      <c r="M16" s="4" t="n">
        <v>0.621984173718047</v>
      </c>
      <c r="N16" s="5" t="s">
        <v>119</v>
      </c>
      <c r="O16" s="8" t="s">
        <v>45</v>
      </c>
      <c r="P16" s="9" t="s">
        <v>275</v>
      </c>
    </row>
    <row r="17" customFormat="false" ht="15" hidden="false" customHeight="false" outlineLevel="0" collapsed="false">
      <c r="A17" s="0" t="s">
        <v>120</v>
      </c>
      <c r="B17" s="0" t="s">
        <v>121</v>
      </c>
      <c r="C17" s="0" t="s">
        <v>39</v>
      </c>
      <c r="D17" s="0" t="s">
        <v>56</v>
      </c>
      <c r="E17" s="3" t="n">
        <v>2800</v>
      </c>
      <c r="F17" s="3" t="n">
        <v>2800</v>
      </c>
      <c r="G17" s="3" t="n">
        <v>2800</v>
      </c>
      <c r="H17" s="3" t="n">
        <v>3035.7</v>
      </c>
      <c r="I17" s="9" t="s">
        <v>123</v>
      </c>
      <c r="J17" s="4" t="n">
        <f aca="false">H17/G17-1</f>
        <v>0.0841785714285714</v>
      </c>
      <c r="K17" s="4" t="n">
        <f aca="false">H17/F17-1</f>
        <v>0.0841785714285714</v>
      </c>
      <c r="L17" s="0" t="str">
        <f aca="false">IF(AND(J17&gt;=0.05,K17&gt;0),"예","")</f>
        <v>예</v>
      </c>
      <c r="M17" s="4" t="n">
        <v>0.376859579100145</v>
      </c>
      <c r="N17" s="5" t="s">
        <v>124</v>
      </c>
      <c r="O17" s="8" t="s">
        <v>45</v>
      </c>
      <c r="P17" s="9" t="s">
        <v>275</v>
      </c>
    </row>
    <row r="18" customFormat="false" ht="15" hidden="false" customHeight="false" outlineLevel="0" collapsed="false">
      <c r="A18" s="0" t="s">
        <v>125</v>
      </c>
      <c r="B18" s="0" t="s">
        <v>126</v>
      </c>
      <c r="C18" s="0" t="s">
        <v>39</v>
      </c>
      <c r="D18" s="0" t="s">
        <v>89</v>
      </c>
      <c r="E18" s="3" t="n">
        <v>395</v>
      </c>
      <c r="F18" s="3" t="n">
        <v>397</v>
      </c>
      <c r="G18" s="3" t="n">
        <v>396</v>
      </c>
      <c r="H18" s="3" t="n">
        <v>427.26</v>
      </c>
      <c r="I18" s="9" t="s">
        <v>50</v>
      </c>
      <c r="J18" s="4" t="n">
        <f aca="false">H18/G18-1</f>
        <v>0.0789393939393939</v>
      </c>
      <c r="K18" s="4" t="n">
        <f aca="false">H18/F18-1</f>
        <v>0.0762216624685139</v>
      </c>
      <c r="L18" s="0" t="str">
        <f aca="false">IF(AND(J18&gt;=0.05,K18&gt;0),"예","")</f>
        <v>예</v>
      </c>
      <c r="M18" s="4" t="n">
        <v>0.378880784870587</v>
      </c>
      <c r="N18" s="5" t="s">
        <v>129</v>
      </c>
      <c r="O18" s="8" t="s">
        <v>45</v>
      </c>
      <c r="P18" s="9" t="s">
        <v>275</v>
      </c>
    </row>
    <row r="19" customFormat="false" ht="15" hidden="false" customHeight="false" outlineLevel="0" collapsed="false">
      <c r="A19" s="0" t="s">
        <v>130</v>
      </c>
      <c r="B19" s="0" t="s">
        <v>131</v>
      </c>
      <c r="C19" s="0" t="s">
        <v>39</v>
      </c>
      <c r="D19" s="0" t="s">
        <v>89</v>
      </c>
      <c r="E19" s="3" t="n">
        <v>1095</v>
      </c>
      <c r="F19" s="3" t="n">
        <v>1105</v>
      </c>
      <c r="G19" s="3" t="n">
        <v>1100</v>
      </c>
      <c r="H19" s="3" t="n">
        <v>1185.898</v>
      </c>
      <c r="I19" s="9" t="s">
        <v>50</v>
      </c>
      <c r="J19" s="4" t="n">
        <f aca="false">H19/G19-1</f>
        <v>0.0780890909090908</v>
      </c>
      <c r="K19" s="4" t="n">
        <f aca="false">H19/F19-1</f>
        <v>0.0732108597285066</v>
      </c>
      <c r="L19" s="0" t="str">
        <f aca="false">IF(AND(J19&gt;=0.05,K19&gt;0),"예","")</f>
        <v>예</v>
      </c>
      <c r="M19" s="4" t="n">
        <v>0.377346394085031</v>
      </c>
      <c r="N19" s="5" t="s">
        <v>134</v>
      </c>
      <c r="O19" s="8" t="s">
        <v>45</v>
      </c>
      <c r="P19" s="9" t="s">
        <v>275</v>
      </c>
    </row>
    <row r="20" customFormat="false" ht="15" hidden="false" customHeight="false" outlineLevel="0" collapsed="false">
      <c r="A20" s="0" t="s">
        <v>135</v>
      </c>
      <c r="B20" s="0" t="s">
        <v>136</v>
      </c>
      <c r="C20" s="0" t="s">
        <v>39</v>
      </c>
      <c r="D20" s="0" t="s">
        <v>56</v>
      </c>
      <c r="E20" s="3" t="n">
        <v>235</v>
      </c>
      <c r="F20" s="3" t="n">
        <v>245</v>
      </c>
      <c r="G20" s="3" t="n">
        <v>240</v>
      </c>
      <c r="H20" s="3" t="n">
        <v>258.242</v>
      </c>
      <c r="I20" s="5" t="s">
        <v>43</v>
      </c>
      <c r="J20" s="4" t="n">
        <f aca="false">H20/G20-1</f>
        <v>0.0760083333333335</v>
      </c>
      <c r="K20" s="4" t="n">
        <f aca="false">H20/F20-1</f>
        <v>0.0540489795918369</v>
      </c>
      <c r="L20" s="0" t="str">
        <f aca="false">IF(AND(J20&gt;=0.05,K20&gt;0),"예","")</f>
        <v>예</v>
      </c>
      <c r="M20" s="4" t="n">
        <v>0.318920520127887</v>
      </c>
      <c r="N20" s="5" t="s">
        <v>138</v>
      </c>
      <c r="O20" s="8" t="s">
        <v>45</v>
      </c>
      <c r="P20" s="9" t="s">
        <v>275</v>
      </c>
    </row>
    <row r="21" customFormat="false" ht="15" hidden="false" customHeight="false" outlineLevel="0" collapsed="false">
      <c r="A21" s="0" t="s">
        <v>139</v>
      </c>
      <c r="B21" s="0" t="s">
        <v>140</v>
      </c>
      <c r="C21" s="0" t="s">
        <v>39</v>
      </c>
      <c r="D21" s="0" t="s">
        <v>56</v>
      </c>
      <c r="E21" s="3" t="n">
        <v>1797</v>
      </c>
      <c r="F21" s="3" t="n">
        <v>1801</v>
      </c>
      <c r="G21" s="3" t="n">
        <v>1799</v>
      </c>
      <c r="H21" s="3" t="n">
        <v>1935.464</v>
      </c>
      <c r="I21" s="9" t="s">
        <v>50</v>
      </c>
      <c r="J21" s="4" t="n">
        <f aca="false">H21/G21-1</f>
        <v>0.0758554752640355</v>
      </c>
      <c r="K21" s="4" t="n">
        <f aca="false">H21/F21-1</f>
        <v>0.0746607440310938</v>
      </c>
      <c r="L21" s="0" t="str">
        <f aca="false">IF(AND(J21&gt;=0.05,K21&gt;0),"예","")</f>
        <v>예</v>
      </c>
      <c r="M21" s="4" t="n">
        <v>0.928334945705726</v>
      </c>
      <c r="N21" s="5" t="s">
        <v>143</v>
      </c>
      <c r="O21" s="8" t="s">
        <v>45</v>
      </c>
      <c r="P21" s="9" t="s">
        <v>275</v>
      </c>
    </row>
    <row r="22" customFormat="false" ht="15" hidden="false" customHeight="false" outlineLevel="0" collapsed="false">
      <c r="A22" s="0" t="s">
        <v>144</v>
      </c>
      <c r="B22" s="0" t="s">
        <v>145</v>
      </c>
      <c r="C22" s="0" t="s">
        <v>39</v>
      </c>
      <c r="D22" s="0" t="s">
        <v>56</v>
      </c>
      <c r="E22" s="3" t="n">
        <v>8100</v>
      </c>
      <c r="F22" s="3" t="n">
        <v>8200</v>
      </c>
      <c r="G22" s="3" t="n">
        <v>8150</v>
      </c>
      <c r="H22" s="3" t="n">
        <v>8758.1</v>
      </c>
      <c r="I22" s="9" t="s">
        <v>50</v>
      </c>
      <c r="J22" s="4" t="n">
        <f aca="false">H22/G22-1</f>
        <v>0.0746134969325154</v>
      </c>
      <c r="K22" s="4" t="n">
        <f aca="false">H22/F22-1</f>
        <v>0.0680609756097563</v>
      </c>
      <c r="L22" s="0" t="str">
        <f aca="false">IF(AND(J22&gt;=0.05,K22&gt;0),"예","")</f>
        <v>예</v>
      </c>
      <c r="M22" s="4" t="n">
        <v>0.550023892536679</v>
      </c>
      <c r="N22" s="5" t="s">
        <v>147</v>
      </c>
      <c r="O22" s="8" t="s">
        <v>45</v>
      </c>
      <c r="P22" s="9" t="s">
        <v>275</v>
      </c>
    </row>
    <row r="23" customFormat="false" ht="15" hidden="false" customHeight="false" outlineLevel="0" collapsed="false">
      <c r="A23" s="0" t="s">
        <v>148</v>
      </c>
      <c r="B23" s="0" t="s">
        <v>149</v>
      </c>
      <c r="C23" s="0" t="s">
        <v>39</v>
      </c>
      <c r="D23" s="0" t="s">
        <v>56</v>
      </c>
      <c r="E23" s="3" t="n">
        <v>505</v>
      </c>
      <c r="F23" s="3" t="n">
        <v>515</v>
      </c>
      <c r="G23" s="3" t="n">
        <v>510</v>
      </c>
      <c r="H23" s="3" t="n">
        <v>546.468</v>
      </c>
      <c r="I23" s="9" t="s">
        <v>50</v>
      </c>
      <c r="J23" s="4" t="n">
        <f aca="false">H23/G23-1</f>
        <v>0.0715058823529411</v>
      </c>
      <c r="K23" s="4" t="n">
        <f aca="false">H23/F23-1</f>
        <v>0.0611029126213591</v>
      </c>
      <c r="L23" s="0" t="str">
        <f aca="false">IF(AND(J23&gt;=0.05,K23&gt;0),"예","")</f>
        <v>예</v>
      </c>
      <c r="M23" s="4" t="n">
        <v>0.239313835770529</v>
      </c>
      <c r="N23" s="5" t="s">
        <v>152</v>
      </c>
      <c r="O23" s="8" t="s">
        <v>45</v>
      </c>
      <c r="P23" s="9" t="s">
        <v>275</v>
      </c>
    </row>
    <row r="24" customFormat="false" ht="15" hidden="false" customHeight="false" outlineLevel="0" collapsed="false">
      <c r="A24" s="0" t="s">
        <v>153</v>
      </c>
      <c r="B24" s="0" t="s">
        <v>154</v>
      </c>
      <c r="C24" s="0" t="s">
        <v>39</v>
      </c>
      <c r="D24" s="0" t="s">
        <v>56</v>
      </c>
      <c r="E24" s="3" t="n">
        <v>1653</v>
      </c>
      <c r="F24" s="3" t="n">
        <v>1661</v>
      </c>
      <c r="G24" s="3" t="n">
        <v>1657</v>
      </c>
      <c r="H24" s="3" t="n">
        <v>1766.469</v>
      </c>
      <c r="I24" s="9" t="s">
        <v>50</v>
      </c>
      <c r="J24" s="4" t="n">
        <f aca="false">H24/G24-1</f>
        <v>0.0660645745322872</v>
      </c>
      <c r="K24" s="4" t="n">
        <f aca="false">H24/F24-1</f>
        <v>0.0634972907886815</v>
      </c>
      <c r="L24" s="0" t="str">
        <f aca="false">IF(AND(J24&gt;=0.05,K24&gt;0),"예","")</f>
        <v>예</v>
      </c>
      <c r="M24" s="4" t="n">
        <v>0.276033269187427</v>
      </c>
      <c r="N24" s="5" t="s">
        <v>156</v>
      </c>
      <c r="O24" s="8" t="s">
        <v>45</v>
      </c>
      <c r="P24" s="9" t="s">
        <v>275</v>
      </c>
    </row>
    <row r="25" customFormat="false" ht="15" hidden="false" customHeight="false" outlineLevel="0" collapsed="false">
      <c r="A25" s="0" t="s">
        <v>157</v>
      </c>
      <c r="B25" s="0" t="s">
        <v>158</v>
      </c>
      <c r="C25" s="0" t="s">
        <v>39</v>
      </c>
      <c r="D25" s="0" t="s">
        <v>56</v>
      </c>
      <c r="E25" s="3" t="n">
        <v>815</v>
      </c>
      <c r="F25" s="3" t="n">
        <v>845</v>
      </c>
      <c r="G25" s="3" t="n">
        <v>830</v>
      </c>
      <c r="H25" s="3" t="n">
        <v>883.2</v>
      </c>
      <c r="I25" s="9" t="s">
        <v>50</v>
      </c>
      <c r="J25" s="4" t="n">
        <f aca="false">H25/G25-1</f>
        <v>0.0640963855421688</v>
      </c>
      <c r="K25" s="4" t="n">
        <f aca="false">H25/F25-1</f>
        <v>0.0452071005917161</v>
      </c>
      <c r="L25" s="0" t="str">
        <f aca="false">IF(AND(J25&gt;=0.05,K25&gt;0),"예","")</f>
        <v>예</v>
      </c>
      <c r="M25" s="4" t="n">
        <v>0.114588591620394</v>
      </c>
      <c r="N25" s="5" t="s">
        <v>160</v>
      </c>
      <c r="O25" s="8" t="s">
        <v>45</v>
      </c>
      <c r="P25" s="9" t="s">
        <v>275</v>
      </c>
    </row>
    <row r="26" customFormat="false" ht="15" hidden="false" customHeight="false" outlineLevel="0" collapsed="false">
      <c r="A26" s="0" t="s">
        <v>161</v>
      </c>
      <c r="B26" s="0" t="s">
        <v>162</v>
      </c>
      <c r="C26" s="0" t="s">
        <v>39</v>
      </c>
      <c r="D26" s="0" t="s">
        <v>56</v>
      </c>
      <c r="E26" s="3" t="n">
        <v>520</v>
      </c>
      <c r="F26" s="3" t="n">
        <v>560</v>
      </c>
      <c r="G26" s="3" t="n">
        <v>540</v>
      </c>
      <c r="H26" s="3" t="n">
        <v>574.1</v>
      </c>
      <c r="I26" s="5" t="s">
        <v>43</v>
      </c>
      <c r="J26" s="4" t="n">
        <f aca="false">H26/G26-1</f>
        <v>0.0631481481481482</v>
      </c>
      <c r="K26" s="4" t="n">
        <f aca="false">H26/F26-1</f>
        <v>0.0251785714285715</v>
      </c>
      <c r="L26" s="0" t="str">
        <f aca="false">IF(AND(J26&gt;=0.05,K26&gt;0),"예","")</f>
        <v>예</v>
      </c>
      <c r="M26" s="4" t="n">
        <v>0.300339750849377</v>
      </c>
      <c r="N26" s="5" t="s">
        <v>164</v>
      </c>
      <c r="O26" s="8" t="s">
        <v>45</v>
      </c>
      <c r="P26" s="9" t="s">
        <v>275</v>
      </c>
    </row>
    <row r="27" customFormat="false" ht="15" hidden="false" customHeight="false" outlineLevel="0" collapsed="false">
      <c r="A27" s="0" t="s">
        <v>165</v>
      </c>
      <c r="B27" s="0" t="s">
        <v>166</v>
      </c>
      <c r="C27" s="0" t="s">
        <v>105</v>
      </c>
      <c r="D27" s="0" t="s">
        <v>56</v>
      </c>
      <c r="E27" s="3" t="n">
        <v>1060</v>
      </c>
      <c r="F27" s="3" t="n">
        <v>1100</v>
      </c>
      <c r="G27" s="3" t="n">
        <v>1080</v>
      </c>
      <c r="H27" s="3" t="n">
        <v>1148</v>
      </c>
      <c r="I27" s="9" t="s">
        <v>50</v>
      </c>
      <c r="J27" s="4" t="n">
        <f aca="false">H27/G27-1</f>
        <v>0.0629629629629629</v>
      </c>
      <c r="K27" s="4" t="n">
        <f aca="false">H27/F27-1</f>
        <v>0.0436363636363637</v>
      </c>
      <c r="L27" s="0" t="str">
        <f aca="false">IF(AND(J27&gt;=0.05,K27&gt;0),"예","")</f>
        <v>예</v>
      </c>
      <c r="M27" s="4" t="n">
        <v>0.111326234269119</v>
      </c>
      <c r="N27" s="5" t="s">
        <v>168</v>
      </c>
      <c r="O27" s="8" t="s">
        <v>45</v>
      </c>
      <c r="P27" s="9" t="s">
        <v>275</v>
      </c>
    </row>
    <row r="28" customFormat="false" ht="15" hidden="false" customHeight="false" outlineLevel="0" collapsed="false">
      <c r="A28" s="0" t="s">
        <v>169</v>
      </c>
      <c r="B28" s="0" t="s">
        <v>170</v>
      </c>
      <c r="C28" s="0" t="s">
        <v>39</v>
      </c>
      <c r="D28" s="0" t="s">
        <v>89</v>
      </c>
      <c r="E28" s="3" t="n">
        <v>1730</v>
      </c>
      <c r="F28" s="3" t="n">
        <v>1750</v>
      </c>
      <c r="G28" s="3" t="n">
        <v>1740</v>
      </c>
      <c r="H28" s="3" t="n">
        <v>1846</v>
      </c>
      <c r="I28" s="9" t="s">
        <v>50</v>
      </c>
      <c r="J28" s="4" t="n">
        <f aca="false">H28/G28-1</f>
        <v>0.060919540229885</v>
      </c>
      <c r="K28" s="4" t="n">
        <f aca="false">H28/F28-1</f>
        <v>0.0548571428571429</v>
      </c>
      <c r="L28" s="0" t="str">
        <f aca="false">IF(AND(J28&gt;=0.05,K28&gt;0),"예","")</f>
        <v>예</v>
      </c>
      <c r="M28" s="4" t="n">
        <v>0.365384615384615</v>
      </c>
      <c r="N28" s="5" t="s">
        <v>173</v>
      </c>
      <c r="O28" s="8" t="s">
        <v>45</v>
      </c>
      <c r="P28" s="9" t="s">
        <v>275</v>
      </c>
    </row>
    <row r="29" customFormat="false" ht="15" hidden="false" customHeight="false" outlineLevel="0" collapsed="false">
      <c r="A29" s="0" t="s">
        <v>174</v>
      </c>
      <c r="B29" s="0" t="s">
        <v>175</v>
      </c>
      <c r="C29" s="0" t="s">
        <v>39</v>
      </c>
      <c r="D29" s="0" t="s">
        <v>56</v>
      </c>
      <c r="E29" s="3" t="n">
        <v>348</v>
      </c>
      <c r="F29" s="3" t="n">
        <v>350</v>
      </c>
      <c r="G29" s="3" t="n">
        <v>349</v>
      </c>
      <c r="H29" s="3" t="n">
        <v>370.083</v>
      </c>
      <c r="I29" s="9" t="s">
        <v>50</v>
      </c>
      <c r="J29" s="4" t="n">
        <f aca="false">H29/G29-1</f>
        <v>0.060409742120344</v>
      </c>
      <c r="K29" s="4" t="n">
        <f aca="false">H29/F29-1</f>
        <v>0.05738</v>
      </c>
      <c r="L29" s="0" t="str">
        <f aca="false">IF(AND(J29&gt;=0.05,K29&gt;0),"예","")</f>
        <v>예</v>
      </c>
      <c r="M29" s="4" t="n">
        <v>0.482466752123057</v>
      </c>
      <c r="N29" s="5" t="s">
        <v>177</v>
      </c>
      <c r="O29" s="8" t="s">
        <v>45</v>
      </c>
      <c r="P29" s="9" t="s">
        <v>275</v>
      </c>
    </row>
    <row r="30" customFormat="false" ht="15" hidden="false" customHeight="false" outlineLevel="0" collapsed="false">
      <c r="A30" s="0" t="s">
        <v>178</v>
      </c>
      <c r="B30" s="0" t="s">
        <v>179</v>
      </c>
      <c r="C30" s="0" t="s">
        <v>180</v>
      </c>
      <c r="D30" s="0" t="s">
        <v>89</v>
      </c>
      <c r="E30" s="3" t="n">
        <v>1180</v>
      </c>
      <c r="F30" s="3" t="n">
        <v>1200</v>
      </c>
      <c r="G30" s="3" t="n">
        <v>1190</v>
      </c>
      <c r="H30" s="3" t="n">
        <v>1261.493</v>
      </c>
      <c r="I30" s="9" t="s">
        <v>50</v>
      </c>
      <c r="J30" s="4" t="n">
        <f aca="false">H30/G30-1</f>
        <v>0.0600781512605042</v>
      </c>
      <c r="K30" s="4" t="n">
        <f aca="false">H30/F30-1</f>
        <v>0.0512441666666665</v>
      </c>
      <c r="L30" s="0" t="str">
        <f aca="false">IF(AND(J30&gt;=0.05,K30&gt;0),"예","")</f>
        <v>예</v>
      </c>
      <c r="M30" s="4" t="n">
        <v>0.228511160864277</v>
      </c>
      <c r="N30" s="5" t="s">
        <v>182</v>
      </c>
      <c r="O30" s="8" t="s">
        <v>45</v>
      </c>
      <c r="P30" s="9" t="s">
        <v>275</v>
      </c>
    </row>
    <row r="31" customFormat="false" ht="15" hidden="false" customHeight="false" outlineLevel="0" collapsed="false">
      <c r="A31" s="0" t="s">
        <v>183</v>
      </c>
      <c r="B31" s="0" t="s">
        <v>184</v>
      </c>
      <c r="C31" s="0" t="s">
        <v>39</v>
      </c>
      <c r="D31" s="0" t="s">
        <v>56</v>
      </c>
      <c r="E31" s="3" t="n">
        <v>9150</v>
      </c>
      <c r="F31" s="3" t="n">
        <v>9750</v>
      </c>
      <c r="G31" s="3" t="n">
        <v>9450</v>
      </c>
      <c r="H31" s="3" t="n">
        <v>9992.237</v>
      </c>
      <c r="I31" s="9" t="s">
        <v>50</v>
      </c>
      <c r="J31" s="4" t="n">
        <f aca="false">H31/G31-1</f>
        <v>0.0573795767195766</v>
      </c>
      <c r="K31" s="4" t="n">
        <f aca="false">H31/F31-1</f>
        <v>0.0248448205128204</v>
      </c>
      <c r="L31" s="0" t="str">
        <f aca="false">IF(AND(J31&gt;=0.05,K31&gt;0),"예","")</f>
        <v>예</v>
      </c>
      <c r="M31" s="4" t="n">
        <v>0.318246288529458</v>
      </c>
      <c r="N31" s="5" t="s">
        <v>186</v>
      </c>
      <c r="O31" s="8" t="s">
        <v>45</v>
      </c>
      <c r="P31" s="9" t="s">
        <v>275</v>
      </c>
    </row>
    <row r="32" customFormat="false" ht="15" hidden="false" customHeight="false" outlineLevel="0" collapsed="false">
      <c r="A32" s="0" t="s">
        <v>187</v>
      </c>
      <c r="B32" s="0" t="s">
        <v>188</v>
      </c>
      <c r="C32" s="0" t="s">
        <v>39</v>
      </c>
      <c r="D32" s="0" t="s">
        <v>89</v>
      </c>
      <c r="E32" s="3" t="n">
        <v>89180</v>
      </c>
      <c r="F32" s="3" t="n">
        <v>92820</v>
      </c>
      <c r="G32" s="3" t="n">
        <v>91000</v>
      </c>
      <c r="H32" s="3" t="n">
        <v>96221</v>
      </c>
      <c r="I32" s="5" t="s">
        <v>190</v>
      </c>
      <c r="J32" s="4" t="n">
        <f aca="false">H32/G32-1</f>
        <v>0.0573736263736264</v>
      </c>
      <c r="K32" s="4" t="n">
        <f aca="false">H32/F32-1</f>
        <v>0.036640810170222</v>
      </c>
      <c r="L32" s="0" t="str">
        <f aca="false">IF(AND(J32&gt;=0.05,K32&gt;0),"예","")</f>
        <v>예</v>
      </c>
      <c r="M32" s="4" t="n">
        <v>1.05851143486725</v>
      </c>
      <c r="N32" s="5" t="s">
        <v>191</v>
      </c>
      <c r="O32" s="8" t="s">
        <v>45</v>
      </c>
      <c r="P32" s="9" t="s">
        <v>275</v>
      </c>
    </row>
    <row r="33" customFormat="false" ht="15" hidden="false" customHeight="false" outlineLevel="0" collapsed="false">
      <c r="A33" s="0" t="s">
        <v>192</v>
      </c>
      <c r="B33" s="0" t="s">
        <v>193</v>
      </c>
      <c r="C33" s="0" t="s">
        <v>39</v>
      </c>
      <c r="D33" s="0" t="s">
        <v>195</v>
      </c>
      <c r="E33" s="3" t="n">
        <v>7350</v>
      </c>
      <c r="F33" s="3" t="n">
        <v>7650</v>
      </c>
      <c r="G33" s="3" t="n">
        <v>7500</v>
      </c>
      <c r="H33" s="3" t="n">
        <v>7928</v>
      </c>
      <c r="I33" s="9" t="s">
        <v>50</v>
      </c>
      <c r="J33" s="4" t="n">
        <f aca="false">H33/G33-1</f>
        <v>0.0570666666666666</v>
      </c>
      <c r="K33" s="4" t="n">
        <f aca="false">H33/F33-1</f>
        <v>0.0363398692810457</v>
      </c>
      <c r="L33" s="0" t="str">
        <f aca="false">IF(AND(J33&gt;=0.05,K33&gt;0),"예","")</f>
        <v>예</v>
      </c>
      <c r="M33" s="4" t="n">
        <v>0.205779467680608</v>
      </c>
      <c r="N33" s="5" t="s">
        <v>196</v>
      </c>
      <c r="O33" s="8" t="s">
        <v>45</v>
      </c>
      <c r="P33" s="9" t="s">
        <v>275</v>
      </c>
    </row>
    <row r="34" customFormat="false" ht="15" hidden="false" customHeight="false" outlineLevel="0" collapsed="false">
      <c r="A34" s="0" t="s">
        <v>197</v>
      </c>
      <c r="B34" s="0" t="s">
        <v>198</v>
      </c>
      <c r="C34" s="0" t="s">
        <v>54</v>
      </c>
      <c r="D34" s="0" t="s">
        <v>56</v>
      </c>
      <c r="E34" s="3" t="n">
        <v>388</v>
      </c>
      <c r="F34" s="3" t="n">
        <v>403</v>
      </c>
      <c r="G34" s="3" t="n">
        <v>395.5</v>
      </c>
      <c r="H34" s="3" t="n">
        <v>418.019</v>
      </c>
      <c r="I34" s="9" t="s">
        <v>50</v>
      </c>
      <c r="J34" s="4" t="n">
        <f aca="false">H34/G34-1</f>
        <v>0.0569380530973451</v>
      </c>
      <c r="K34" s="4" t="n">
        <f aca="false">H34/F34-1</f>
        <v>0.0372679900744417</v>
      </c>
      <c r="L34" s="0" t="str">
        <f aca="false">IF(AND(J34&gt;=0.05,K34&gt;0),"예","")</f>
        <v>예</v>
      </c>
      <c r="M34" s="4" t="n">
        <v>0.0779214081448991</v>
      </c>
      <c r="N34" s="5" t="s">
        <v>200</v>
      </c>
      <c r="O34" s="8" t="s">
        <v>45</v>
      </c>
      <c r="P34" s="9" t="s">
        <v>275</v>
      </c>
    </row>
    <row r="35" customFormat="false" ht="15" hidden="false" customHeight="false" outlineLevel="0" collapsed="false">
      <c r="A35" s="0" t="s">
        <v>201</v>
      </c>
      <c r="B35" s="0" t="s">
        <v>202</v>
      </c>
      <c r="C35" s="0" t="s">
        <v>39</v>
      </c>
      <c r="D35" s="0" t="s">
        <v>56</v>
      </c>
      <c r="E35" s="3" t="n">
        <v>930</v>
      </c>
      <c r="F35" s="3" t="n">
        <v>970</v>
      </c>
      <c r="G35" s="3" t="n">
        <v>950</v>
      </c>
      <c r="H35" s="3" t="n">
        <v>1004.054</v>
      </c>
      <c r="I35" s="9" t="s">
        <v>50</v>
      </c>
      <c r="J35" s="4" t="n">
        <f aca="false">H35/G35-1</f>
        <v>0.0568989473684209</v>
      </c>
      <c r="K35" s="4" t="n">
        <f aca="false">H35/F35-1</f>
        <v>0.0351072164948454</v>
      </c>
      <c r="L35" s="0" t="str">
        <f aca="false">IF(AND(J35&gt;=0.05,K35&gt;0),"예","")</f>
        <v>예</v>
      </c>
      <c r="M35" s="4" t="n">
        <v>0.374247386812041</v>
      </c>
      <c r="N35" s="5" t="s">
        <v>204</v>
      </c>
      <c r="O35" s="8" t="s">
        <v>45</v>
      </c>
      <c r="P35" s="9" t="s">
        <v>275</v>
      </c>
    </row>
    <row r="36" customFormat="false" ht="15" hidden="false" customHeight="false" outlineLevel="0" collapsed="false">
      <c r="A36" s="0" t="s">
        <v>205</v>
      </c>
      <c r="B36" s="0" t="s">
        <v>206</v>
      </c>
      <c r="C36" s="0" t="s">
        <v>39</v>
      </c>
      <c r="D36" s="0" t="s">
        <v>56</v>
      </c>
      <c r="E36" s="3" t="n">
        <v>320</v>
      </c>
      <c r="F36" s="3" t="n">
        <v>330</v>
      </c>
      <c r="G36" s="3" t="n">
        <v>325</v>
      </c>
      <c r="H36" s="3" t="n">
        <v>343.129</v>
      </c>
      <c r="I36" s="9" t="s">
        <v>50</v>
      </c>
      <c r="J36" s="4" t="n">
        <f aca="false">H36/G36-1</f>
        <v>0.0557815384615386</v>
      </c>
      <c r="K36" s="4" t="n">
        <f aca="false">H36/F36-1</f>
        <v>0.0397848484848486</v>
      </c>
      <c r="L36" s="0" t="str">
        <f aca="false">IF(AND(J36&gt;=0.05,K36&gt;0),"예","")</f>
        <v>예</v>
      </c>
      <c r="M36" s="4" t="n">
        <v>0.353048340477214</v>
      </c>
      <c r="N36" s="5" t="s">
        <v>208</v>
      </c>
      <c r="O36" s="8" t="s">
        <v>45</v>
      </c>
      <c r="P36" s="9" t="s">
        <v>275</v>
      </c>
    </row>
    <row r="37" customFormat="false" ht="15" hidden="false" customHeight="false" outlineLevel="0" collapsed="false">
      <c r="A37" s="0" t="s">
        <v>209</v>
      </c>
      <c r="B37" s="0" t="s">
        <v>210</v>
      </c>
      <c r="C37" s="0" t="s">
        <v>39</v>
      </c>
      <c r="D37" s="0" t="s">
        <v>89</v>
      </c>
      <c r="E37" s="3" t="n">
        <v>44000</v>
      </c>
      <c r="F37" s="3" t="n">
        <v>45000</v>
      </c>
      <c r="G37" s="3" t="n">
        <v>44500</v>
      </c>
      <c r="H37" s="3" t="n">
        <v>46971</v>
      </c>
      <c r="I37" s="9" t="s">
        <v>50</v>
      </c>
      <c r="J37" s="4" t="n">
        <f aca="false">H37/G37-1</f>
        <v>0.0555280898876405</v>
      </c>
      <c r="K37" s="4" t="n">
        <f aca="false">H37/F37-1</f>
        <v>0.0438000000000001</v>
      </c>
      <c r="L37" s="0" t="str">
        <f aca="false">IF(AND(J37&gt;=0.05,K37&gt;0),"예","")</f>
        <v>예</v>
      </c>
      <c r="M37" s="4" t="n">
        <v>0.577478506179473</v>
      </c>
      <c r="N37" s="5" t="s">
        <v>213</v>
      </c>
      <c r="O37" s="8" t="s">
        <v>45</v>
      </c>
      <c r="P37" s="9" t="s">
        <v>275</v>
      </c>
    </row>
    <row r="38" customFormat="false" ht="15" hidden="false" customHeight="false" outlineLevel="0" collapsed="false">
      <c r="A38" s="0" t="s">
        <v>214</v>
      </c>
      <c r="B38" s="0" t="s">
        <v>215</v>
      </c>
      <c r="C38" s="0" t="s">
        <v>39</v>
      </c>
      <c r="D38" s="0" t="s">
        <v>56</v>
      </c>
      <c r="E38" s="3" t="n">
        <v>690</v>
      </c>
      <c r="F38" s="3" t="n">
        <v>710</v>
      </c>
      <c r="G38" s="3" t="n">
        <v>700</v>
      </c>
      <c r="H38" s="3" t="n">
        <v>738.781</v>
      </c>
      <c r="I38" s="9" t="s">
        <v>50</v>
      </c>
      <c r="J38" s="4" t="n">
        <f aca="false">H38/G38-1</f>
        <v>0.0554014285714286</v>
      </c>
      <c r="K38" s="4" t="n">
        <f aca="false">H38/F38-1</f>
        <v>0.0405366197183097</v>
      </c>
      <c r="L38" s="0" t="str">
        <f aca="false">IF(AND(J38&gt;=0.05,K38&gt;0),"예","")</f>
        <v>예</v>
      </c>
      <c r="M38" s="4" t="n">
        <v>0.204377800926945</v>
      </c>
      <c r="N38" s="5" t="s">
        <v>217</v>
      </c>
      <c r="O38" s="8" t="s">
        <v>45</v>
      </c>
      <c r="P38" s="9" t="s">
        <v>275</v>
      </c>
    </row>
    <row r="39" customFormat="false" ht="15" hidden="false" customHeight="false" outlineLevel="0" collapsed="false">
      <c r="A39" s="0" t="s">
        <v>218</v>
      </c>
      <c r="B39" s="0" t="s">
        <v>219</v>
      </c>
      <c r="C39" s="0" t="s">
        <v>39</v>
      </c>
      <c r="D39" s="0" t="s">
        <v>89</v>
      </c>
      <c r="E39" s="3" t="n">
        <v>729</v>
      </c>
      <c r="F39" s="3" t="n">
        <v>734</v>
      </c>
      <c r="G39" s="3" t="n">
        <v>731.5</v>
      </c>
      <c r="H39" s="3" t="n">
        <v>771.773</v>
      </c>
      <c r="I39" s="9" t="s">
        <v>50</v>
      </c>
      <c r="J39" s="4" t="n">
        <f aca="false">H39/G39-1</f>
        <v>0.0550553656869446</v>
      </c>
      <c r="K39" s="4" t="n">
        <f aca="false">H39/F39-1</f>
        <v>0.0514618528610356</v>
      </c>
      <c r="L39" s="0" t="str">
        <f aca="false">IF(AND(J39&gt;=0.05,K39&gt;0),"예","")</f>
        <v>예</v>
      </c>
      <c r="M39" s="4" t="n">
        <v>0.30498882316935</v>
      </c>
      <c r="N39" s="5" t="s">
        <v>221</v>
      </c>
      <c r="O39" s="8" t="s">
        <v>45</v>
      </c>
      <c r="P39" s="9" t="s">
        <v>275</v>
      </c>
    </row>
    <row r="40" customFormat="false" ht="15" hidden="false" customHeight="false" outlineLevel="0" collapsed="false">
      <c r="A40" s="0" t="s">
        <v>222</v>
      </c>
      <c r="B40" s="0" t="s">
        <v>223</v>
      </c>
      <c r="C40" s="0" t="s">
        <v>54</v>
      </c>
      <c r="D40" s="0" t="s">
        <v>89</v>
      </c>
      <c r="E40" s="3" t="n">
        <v>760</v>
      </c>
      <c r="F40" s="3" t="n">
        <v>790</v>
      </c>
      <c r="G40" s="3" t="n">
        <v>775</v>
      </c>
      <c r="H40" s="3" t="n">
        <v>817.667</v>
      </c>
      <c r="I40" s="9" t="s">
        <v>50</v>
      </c>
      <c r="J40" s="4" t="n">
        <f aca="false">H40/G40-1</f>
        <v>0.055054193548387</v>
      </c>
      <c r="K40" s="4" t="n">
        <f aca="false">H40/F40-1</f>
        <v>0.0350215189873417</v>
      </c>
      <c r="L40" s="0" t="str">
        <f aca="false">IF(AND(J40&gt;=0.05,K40&gt;0),"예","")</f>
        <v>예</v>
      </c>
      <c r="M40" s="4" t="n">
        <v>0.102706777665544</v>
      </c>
      <c r="N40" s="5" t="s">
        <v>226</v>
      </c>
      <c r="O40" s="8" t="s">
        <v>45</v>
      </c>
      <c r="P40" s="9" t="s">
        <v>275</v>
      </c>
    </row>
    <row r="41" customFormat="false" ht="15" hidden="false" customHeight="false" outlineLevel="0" collapsed="false">
      <c r="A41" s="0" t="s">
        <v>227</v>
      </c>
      <c r="B41" s="0" t="s">
        <v>228</v>
      </c>
      <c r="C41" s="0" t="s">
        <v>39</v>
      </c>
      <c r="D41" s="0" t="s">
        <v>56</v>
      </c>
      <c r="E41" s="3" t="n">
        <v>1750</v>
      </c>
      <c r="F41" s="3" t="n">
        <v>1850</v>
      </c>
      <c r="G41" s="3" t="n">
        <v>1800</v>
      </c>
      <c r="H41" s="3" t="n">
        <v>1897.965</v>
      </c>
      <c r="I41" s="9" t="s">
        <v>50</v>
      </c>
      <c r="J41" s="4" t="n">
        <f aca="false">H41/G41-1</f>
        <v>0.0544249999999999</v>
      </c>
      <c r="K41" s="4" t="n">
        <f aca="false">H41/F41-1</f>
        <v>0.0259270270270269</v>
      </c>
      <c r="L41" s="0" t="str">
        <f aca="false">IF(AND(J41&gt;=0.05,K41&gt;0),"예","")</f>
        <v>예</v>
      </c>
      <c r="M41" s="4" t="n">
        <v>0.255772823992717</v>
      </c>
      <c r="N41" s="5" t="s">
        <v>231</v>
      </c>
      <c r="O41" s="8" t="s">
        <v>45</v>
      </c>
      <c r="P41" s="9" t="s">
        <v>275</v>
      </c>
    </row>
    <row r="42" customFormat="false" ht="15" hidden="false" customHeight="false" outlineLevel="0" collapsed="false">
      <c r="A42" s="0" t="s">
        <v>232</v>
      </c>
      <c r="B42" s="0" t="s">
        <v>233</v>
      </c>
      <c r="C42" s="0" t="s">
        <v>39</v>
      </c>
      <c r="D42" s="0" t="s">
        <v>56</v>
      </c>
      <c r="E42" s="3" t="n">
        <v>13600</v>
      </c>
      <c r="F42" s="3" t="n">
        <v>14000</v>
      </c>
      <c r="G42" s="3" t="n">
        <v>13800</v>
      </c>
      <c r="H42" s="3" t="n">
        <v>14531.069</v>
      </c>
      <c r="I42" s="9" t="s">
        <v>50</v>
      </c>
      <c r="J42" s="4" t="n">
        <f aca="false">H42/G42-1</f>
        <v>0.0529760144927536</v>
      </c>
      <c r="K42" s="4" t="n">
        <f aca="false">H42/F42-1</f>
        <v>0.0379335000000001</v>
      </c>
      <c r="L42" s="0" t="str">
        <f aca="false">IF(AND(J42&gt;=0.05,K42&gt;0),"예","")</f>
        <v>예</v>
      </c>
      <c r="M42" s="4" t="n">
        <v>0.135776064885638</v>
      </c>
      <c r="N42" s="5" t="s">
        <v>235</v>
      </c>
      <c r="O42" s="8" t="s">
        <v>45</v>
      </c>
      <c r="P42" s="9" t="s">
        <v>275</v>
      </c>
    </row>
    <row r="43" customFormat="false" ht="15" hidden="false" customHeight="false" outlineLevel="0" collapsed="false">
      <c r="A43" s="0" t="s">
        <v>236</v>
      </c>
      <c r="B43" s="0" t="s">
        <v>237</v>
      </c>
      <c r="C43" s="0" t="s">
        <v>39</v>
      </c>
      <c r="D43" s="0" t="s">
        <v>89</v>
      </c>
      <c r="E43" s="3" t="n">
        <v>482</v>
      </c>
      <c r="F43" s="3" t="n">
        <v>484</v>
      </c>
      <c r="G43" s="3" t="n">
        <v>483</v>
      </c>
      <c r="H43" s="3" t="n">
        <v>508.437</v>
      </c>
      <c r="I43" s="9" t="s">
        <v>50</v>
      </c>
      <c r="J43" s="4" t="n">
        <f aca="false">H43/G43-1</f>
        <v>0.0526645962732919</v>
      </c>
      <c r="K43" s="4" t="n">
        <f aca="false">H43/F43-1</f>
        <v>0.0504896694214876</v>
      </c>
      <c r="L43" s="0" t="str">
        <f aca="false">IF(AND(J43&gt;=0.05,K43&gt;0),"예","")</f>
        <v>예</v>
      </c>
      <c r="M43" s="4" t="n">
        <v>0.298756002860938</v>
      </c>
      <c r="N43" s="5" t="s">
        <v>239</v>
      </c>
      <c r="O43" s="8" t="s">
        <v>45</v>
      </c>
      <c r="P43" s="9" t="s">
        <v>275</v>
      </c>
    </row>
    <row r="44" customFormat="false" ht="15" hidden="false" customHeight="false" outlineLevel="0" collapsed="false">
      <c r="A44" s="0" t="s">
        <v>240</v>
      </c>
      <c r="B44" s="0" t="s">
        <v>241</v>
      </c>
      <c r="C44" s="0" t="s">
        <v>39</v>
      </c>
      <c r="D44" s="0" t="s">
        <v>56</v>
      </c>
      <c r="E44" s="3" t="n">
        <v>1420</v>
      </c>
      <c r="F44" s="3" t="n">
        <v>1430</v>
      </c>
      <c r="G44" s="3" t="n">
        <v>1425</v>
      </c>
      <c r="H44" s="3" t="n">
        <v>1499.089</v>
      </c>
      <c r="I44" s="9" t="s">
        <v>50</v>
      </c>
      <c r="J44" s="4" t="n">
        <f aca="false">H44/G44-1</f>
        <v>0.0519922807017543</v>
      </c>
      <c r="K44" s="4" t="n">
        <f aca="false">H44/F44-1</f>
        <v>0.0483139860139861</v>
      </c>
      <c r="L44" s="0" t="str">
        <f aca="false">IF(AND(J44&gt;=0.05,K44&gt;0),"예","")</f>
        <v>예</v>
      </c>
      <c r="M44" s="4" t="n">
        <v>0.220334167735108</v>
      </c>
      <c r="N44" s="5" t="s">
        <v>243</v>
      </c>
      <c r="O44" s="8" t="s">
        <v>45</v>
      </c>
      <c r="P44" s="9" t="s">
        <v>275</v>
      </c>
    </row>
    <row r="45" customFormat="false" ht="15" hidden="false" customHeight="false" outlineLevel="0" collapsed="false">
      <c r="A45" s="0" t="s">
        <v>244</v>
      </c>
      <c r="B45" s="0" t="s">
        <v>245</v>
      </c>
      <c r="C45" s="0" t="s">
        <v>54</v>
      </c>
      <c r="D45" s="0" t="s">
        <v>56</v>
      </c>
      <c r="E45" s="3" t="n">
        <v>815</v>
      </c>
      <c r="F45" s="3" t="n">
        <v>850</v>
      </c>
      <c r="G45" s="3" t="n">
        <v>832.5</v>
      </c>
      <c r="H45" s="3" t="n">
        <v>875.549</v>
      </c>
      <c r="I45" s="9" t="s">
        <v>50</v>
      </c>
      <c r="J45" s="4" t="n">
        <f aca="false">H45/G45-1</f>
        <v>0.0517105105105105</v>
      </c>
      <c r="K45" s="4" t="n">
        <f aca="false">H45/F45-1</f>
        <v>0.0300576470588234</v>
      </c>
      <c r="L45" s="0" t="str">
        <f aca="false">IF(AND(J45&gt;=0.05,K45&gt;0),"예","")</f>
        <v>예</v>
      </c>
      <c r="M45" s="4" t="n">
        <v>0.0988329553626448</v>
      </c>
      <c r="N45" s="5" t="s">
        <v>248</v>
      </c>
      <c r="O45" s="8" t="s">
        <v>45</v>
      </c>
      <c r="P45" s="9" t="s">
        <v>275</v>
      </c>
    </row>
    <row r="46" customFormat="false" ht="15" hidden="false" customHeight="false" outlineLevel="0" collapsed="false">
      <c r="A46" s="0" t="s">
        <v>249</v>
      </c>
      <c r="B46" s="0" t="s">
        <v>250</v>
      </c>
      <c r="C46" s="0" t="s">
        <v>39</v>
      </c>
      <c r="D46" s="0" t="s">
        <v>56</v>
      </c>
      <c r="E46" s="3" t="n">
        <v>5000</v>
      </c>
      <c r="F46" s="3" t="n">
        <v>5400</v>
      </c>
      <c r="G46" s="3" t="n">
        <v>5200</v>
      </c>
      <c r="H46" s="3" t="n">
        <v>5463</v>
      </c>
      <c r="I46" s="9" t="s">
        <v>50</v>
      </c>
      <c r="J46" s="4" t="n">
        <f aca="false">H46/G46-1</f>
        <v>0.0505769230769231</v>
      </c>
      <c r="K46" s="4" t="n">
        <f aca="false">H46/F46-1</f>
        <v>0.0116666666666667</v>
      </c>
      <c r="L46" s="0" t="str">
        <f aca="false">IF(AND(J46&gt;=0.05,K46&gt;0),"예","")</f>
        <v>예</v>
      </c>
      <c r="M46" s="4" t="n">
        <v>0.228192446043166</v>
      </c>
      <c r="N46" s="5" t="s">
        <v>253</v>
      </c>
      <c r="O46" s="8" t="s">
        <v>45</v>
      </c>
      <c r="P46" s="9" t="s">
        <v>275</v>
      </c>
    </row>
    <row r="47" customFormat="false" ht="15" hidden="false" customHeight="false" outlineLevel="0" collapsed="false">
      <c r="A47" s="0" t="s">
        <v>276</v>
      </c>
      <c r="B47" s="0" t="s">
        <v>277</v>
      </c>
      <c r="C47" s="0" t="s">
        <v>262</v>
      </c>
      <c r="D47" s="0" t="s">
        <v>56</v>
      </c>
      <c r="E47" s="3" t="n">
        <v>633</v>
      </c>
      <c r="F47" s="3" t="n">
        <v>643</v>
      </c>
      <c r="G47" s="3" t="n">
        <v>638</v>
      </c>
      <c r="H47" s="3" t="n">
        <v>669.768</v>
      </c>
      <c r="I47" s="9" t="s">
        <v>50</v>
      </c>
      <c r="J47" s="4" t="n">
        <f aca="false">H47/G47-1</f>
        <v>0.0497931034482759</v>
      </c>
      <c r="K47" s="4" t="n">
        <f aca="false">H47/F47-1</f>
        <v>0.0416298600311043</v>
      </c>
      <c r="L47" s="0" t="str">
        <f aca="false">IF(AND(J47&gt;=0.05,K47&gt;0),"예","")</f>
        <v/>
      </c>
      <c r="M47" s="4" t="n">
        <v>0.268142134132603</v>
      </c>
      <c r="N47" s="5" t="s">
        <v>278</v>
      </c>
      <c r="O47" s="8" t="s">
        <v>45</v>
      </c>
    </row>
    <row r="48" customFormat="false" ht="15" hidden="false" customHeight="false" outlineLevel="0" collapsed="false">
      <c r="A48" s="0" t="s">
        <v>279</v>
      </c>
      <c r="B48" s="0" t="s">
        <v>280</v>
      </c>
      <c r="C48" s="0" t="s">
        <v>39</v>
      </c>
      <c r="D48" s="0" t="s">
        <v>89</v>
      </c>
      <c r="E48" s="3" t="n">
        <v>272</v>
      </c>
      <c r="F48" s="3" t="n">
        <v>274</v>
      </c>
      <c r="G48" s="3" t="n">
        <v>273</v>
      </c>
      <c r="H48" s="3" t="n">
        <v>286.254</v>
      </c>
      <c r="I48" s="9" t="s">
        <v>50</v>
      </c>
      <c r="J48" s="4" t="n">
        <f aca="false">H48/G48-1</f>
        <v>0.0485494505494506</v>
      </c>
      <c r="K48" s="4" t="n">
        <f aca="false">H48/F48-1</f>
        <v>0.0447226277372264</v>
      </c>
      <c r="L48" s="0" t="str">
        <f aca="false">IF(AND(J48&gt;=0.05,K48&gt;0),"예","")</f>
        <v/>
      </c>
      <c r="M48" s="4" t="n">
        <v>0.21314629598237</v>
      </c>
      <c r="N48" s="5" t="s">
        <v>281</v>
      </c>
      <c r="O48" s="8" t="s">
        <v>45</v>
      </c>
    </row>
    <row r="49" customFormat="false" ht="15" hidden="false" customHeight="false" outlineLevel="0" collapsed="false">
      <c r="A49" s="0" t="s">
        <v>282</v>
      </c>
      <c r="B49" s="0" t="s">
        <v>283</v>
      </c>
      <c r="C49" s="0" t="s">
        <v>39</v>
      </c>
      <c r="D49" s="0" t="s">
        <v>56</v>
      </c>
      <c r="E49" s="3" t="n">
        <v>664</v>
      </c>
      <c r="F49" s="3" t="n">
        <v>665</v>
      </c>
      <c r="G49" s="3" t="n">
        <v>664.5</v>
      </c>
      <c r="H49" s="3" t="n">
        <v>696.061</v>
      </c>
      <c r="I49" s="9" t="s">
        <v>50</v>
      </c>
      <c r="J49" s="4" t="n">
        <f aca="false">H49/G49-1</f>
        <v>0.0474958615500376</v>
      </c>
      <c r="K49" s="4" t="n">
        <f aca="false">H49/F49-1</f>
        <v>0.0467082706766917</v>
      </c>
      <c r="L49" s="0" t="str">
        <f aca="false">IF(AND(J49&gt;=0.05,K49&gt;0),"예","")</f>
        <v/>
      </c>
      <c r="M49" s="4" t="n">
        <v>0.35865559537473</v>
      </c>
      <c r="N49" s="5" t="s">
        <v>284</v>
      </c>
      <c r="O49" s="8" t="s">
        <v>45</v>
      </c>
    </row>
    <row r="50" customFormat="false" ht="15" hidden="false" customHeight="false" outlineLevel="0" collapsed="false">
      <c r="A50" s="0" t="s">
        <v>285</v>
      </c>
      <c r="B50" s="0" t="s">
        <v>286</v>
      </c>
      <c r="C50" s="0" t="s">
        <v>180</v>
      </c>
      <c r="D50" s="0" t="s">
        <v>56</v>
      </c>
      <c r="E50" s="3" t="n">
        <v>2970</v>
      </c>
      <c r="F50" s="3" t="n">
        <v>3030</v>
      </c>
      <c r="G50" s="3" t="n">
        <v>3000</v>
      </c>
      <c r="H50" s="3" t="n">
        <v>3134</v>
      </c>
      <c r="I50" s="9" t="s">
        <v>50</v>
      </c>
      <c r="J50" s="4" t="n">
        <f aca="false">H50/G50-1</f>
        <v>0.0446666666666666</v>
      </c>
      <c r="K50" s="4" t="n">
        <f aca="false">H50/F50-1</f>
        <v>0.0343234323432344</v>
      </c>
      <c r="L50" s="0" t="str">
        <f aca="false">IF(AND(J50&gt;=0.05,K50&gt;0),"예","")</f>
        <v/>
      </c>
      <c r="M50" s="4" t="n">
        <v>0.147985347985348</v>
      </c>
      <c r="N50" s="5" t="s">
        <v>287</v>
      </c>
      <c r="O50" s="8" t="s">
        <v>45</v>
      </c>
    </row>
    <row r="51" customFormat="false" ht="15" hidden="false" customHeight="false" outlineLevel="0" collapsed="false">
      <c r="A51" s="0" t="s">
        <v>288</v>
      </c>
      <c r="B51" s="0" t="s">
        <v>289</v>
      </c>
      <c r="C51" s="0" t="s">
        <v>54</v>
      </c>
      <c r="D51" s="0" t="s">
        <v>56</v>
      </c>
      <c r="E51" s="3" t="n">
        <v>1900</v>
      </c>
      <c r="F51" s="3" t="n">
        <v>1900</v>
      </c>
      <c r="G51" s="3" t="n">
        <v>1900</v>
      </c>
      <c r="H51" s="3" t="n">
        <v>1984</v>
      </c>
      <c r="I51" s="9" t="s">
        <v>123</v>
      </c>
      <c r="J51" s="4" t="n">
        <f aca="false">H51/G51-1</f>
        <v>0.0442105263157895</v>
      </c>
      <c r="K51" s="4" t="n">
        <f aca="false">H51/F51-1</f>
        <v>0.0442105263157895</v>
      </c>
      <c r="L51" s="0" t="str">
        <f aca="false">IF(AND(J51&gt;=0.05,K51&gt;0),"예","")</f>
        <v/>
      </c>
      <c r="M51" s="4" t="n">
        <v>0.0163934426229508</v>
      </c>
      <c r="N51" s="5" t="s">
        <v>290</v>
      </c>
      <c r="O51" s="8" t="s">
        <v>45</v>
      </c>
    </row>
    <row r="52" customFormat="false" ht="15" hidden="false" customHeight="false" outlineLevel="0" collapsed="false">
      <c r="A52" s="0" t="s">
        <v>291</v>
      </c>
      <c r="B52" s="0" t="s">
        <v>292</v>
      </c>
      <c r="C52" s="0" t="s">
        <v>39</v>
      </c>
      <c r="D52" s="0" t="s">
        <v>56</v>
      </c>
      <c r="E52" s="3" t="n">
        <v>1070</v>
      </c>
      <c r="F52" s="3" t="n">
        <v>1080</v>
      </c>
      <c r="G52" s="3" t="n">
        <v>1075</v>
      </c>
      <c r="H52" s="3" t="n">
        <v>1121.454</v>
      </c>
      <c r="I52" s="9" t="s">
        <v>50</v>
      </c>
      <c r="J52" s="4" t="n">
        <f aca="false">H52/G52-1</f>
        <v>0.0432130232558139</v>
      </c>
      <c r="K52" s="4" t="n">
        <f aca="false">H52/F52-1</f>
        <v>0.0383833333333332</v>
      </c>
      <c r="L52" s="0" t="str">
        <f aca="false">IF(AND(J52&gt;=0.05,K52&gt;0),"예","")</f>
        <v/>
      </c>
      <c r="M52" s="4" t="n">
        <v>0.35644443369297</v>
      </c>
      <c r="N52" s="5" t="s">
        <v>293</v>
      </c>
      <c r="O52" s="8" t="s">
        <v>45</v>
      </c>
    </row>
    <row r="53" customFormat="false" ht="15" hidden="false" customHeight="false" outlineLevel="0" collapsed="false">
      <c r="A53" s="0" t="s">
        <v>294</v>
      </c>
      <c r="B53" s="0" t="s">
        <v>295</v>
      </c>
      <c r="C53" s="0" t="s">
        <v>39</v>
      </c>
      <c r="D53" s="0" t="s">
        <v>89</v>
      </c>
      <c r="E53" s="3" t="n">
        <v>323</v>
      </c>
      <c r="F53" s="3" t="n">
        <v>333</v>
      </c>
      <c r="G53" s="3" t="n">
        <v>328</v>
      </c>
      <c r="H53" s="3" t="n">
        <v>341.871</v>
      </c>
      <c r="I53" s="5" t="s">
        <v>43</v>
      </c>
      <c r="J53" s="4" t="n">
        <f aca="false">H53/G53-1</f>
        <v>0.0422896341463415</v>
      </c>
      <c r="K53" s="4" t="n">
        <f aca="false">H53/F53-1</f>
        <v>0.0266396396396396</v>
      </c>
      <c r="L53" s="0" t="str">
        <f aca="false">IF(AND(J53&gt;=0.05,K53&gt;0),"예","")</f>
        <v/>
      </c>
      <c r="M53" s="4" t="n">
        <v>0.327195648882522</v>
      </c>
      <c r="N53" s="5" t="s">
        <v>296</v>
      </c>
      <c r="O53" s="8" t="s">
        <v>45</v>
      </c>
    </row>
    <row r="54" customFormat="false" ht="15" hidden="false" customHeight="false" outlineLevel="0" collapsed="false">
      <c r="A54" s="0" t="s">
        <v>297</v>
      </c>
      <c r="B54" s="0" t="s">
        <v>298</v>
      </c>
      <c r="C54" s="0" t="s">
        <v>263</v>
      </c>
      <c r="D54" s="0" t="s">
        <v>56</v>
      </c>
      <c r="E54" s="3" t="n">
        <v>1300</v>
      </c>
      <c r="F54" s="3" t="n">
        <v>1325</v>
      </c>
      <c r="G54" s="3" t="n">
        <v>1312.5</v>
      </c>
      <c r="H54" s="3" t="n">
        <v>1368</v>
      </c>
      <c r="I54" s="9" t="s">
        <v>50</v>
      </c>
      <c r="J54" s="4" t="n">
        <f aca="false">H54/G54-1</f>
        <v>0.0422857142857143</v>
      </c>
      <c r="K54" s="4" t="n">
        <f aca="false">H54/F54-1</f>
        <v>0.0324528301886793</v>
      </c>
      <c r="L54" s="0" t="str">
        <f aca="false">IF(AND(J54&gt;=0.05,K54&gt;0),"예","")</f>
        <v/>
      </c>
      <c r="M54" s="4" t="n">
        <v>0.102336825141015</v>
      </c>
      <c r="N54" s="5" t="s">
        <v>299</v>
      </c>
      <c r="O54" s="8" t="s">
        <v>45</v>
      </c>
    </row>
    <row r="55" customFormat="false" ht="15" hidden="false" customHeight="false" outlineLevel="0" collapsed="false">
      <c r="A55" s="0" t="s">
        <v>300</v>
      </c>
      <c r="B55" s="0" t="s">
        <v>301</v>
      </c>
      <c r="C55" s="0" t="s">
        <v>39</v>
      </c>
      <c r="D55" s="0" t="s">
        <v>56</v>
      </c>
      <c r="E55" s="3" t="n">
        <v>820</v>
      </c>
      <c r="F55" s="3" t="n">
        <v>840</v>
      </c>
      <c r="G55" s="3" t="n">
        <v>830</v>
      </c>
      <c r="H55" s="3" t="n">
        <v>865.077</v>
      </c>
      <c r="I55" s="9" t="s">
        <v>50</v>
      </c>
      <c r="J55" s="4" t="n">
        <f aca="false">H55/G55-1</f>
        <v>0.0422614457831325</v>
      </c>
      <c r="K55" s="4" t="n">
        <f aca="false">H55/F55-1</f>
        <v>0.0298535714285715</v>
      </c>
      <c r="L55" s="0" t="str">
        <f aca="false">IF(AND(J55&gt;=0.05,K55&gt;0),"예","")</f>
        <v/>
      </c>
      <c r="M55" s="4" t="n">
        <v>0.108547227597166</v>
      </c>
      <c r="N55" s="5" t="s">
        <v>302</v>
      </c>
      <c r="O55" s="8" t="s">
        <v>45</v>
      </c>
    </row>
    <row r="56" customFormat="false" ht="15" hidden="false" customHeight="false" outlineLevel="0" collapsed="false">
      <c r="A56" s="0" t="s">
        <v>303</v>
      </c>
      <c r="B56" s="0" t="s">
        <v>303</v>
      </c>
      <c r="C56" s="0" t="s">
        <v>78</v>
      </c>
      <c r="D56" s="0" t="s">
        <v>56</v>
      </c>
      <c r="E56" s="3" t="n">
        <v>1300</v>
      </c>
      <c r="F56" s="3" t="n">
        <v>1300</v>
      </c>
      <c r="G56" s="3" t="n">
        <v>1300</v>
      </c>
      <c r="H56" s="3" t="n">
        <v>1354.69</v>
      </c>
      <c r="I56" s="9" t="s">
        <v>123</v>
      </c>
      <c r="J56" s="4" t="n">
        <f aca="false">H56/G56-1</f>
        <v>0.0420692307692308</v>
      </c>
      <c r="K56" s="4" t="n">
        <f aca="false">H56/F56-1</f>
        <v>0.0420692307692308</v>
      </c>
      <c r="L56" s="0" t="str">
        <f aca="false">IF(AND(J56&gt;=0.05,K56&gt;0),"예","")</f>
        <v/>
      </c>
      <c r="M56" s="4" t="n">
        <v>0.219301230020935</v>
      </c>
      <c r="N56" s="5" t="s">
        <v>304</v>
      </c>
      <c r="O56" s="8" t="s">
        <v>45</v>
      </c>
    </row>
    <row r="57" customFormat="false" ht="15" hidden="false" customHeight="false" outlineLevel="0" collapsed="false">
      <c r="A57" s="0" t="s">
        <v>305</v>
      </c>
      <c r="B57" s="0" t="s">
        <v>305</v>
      </c>
      <c r="C57" s="0" t="s">
        <v>261</v>
      </c>
      <c r="D57" s="0" t="s">
        <v>56</v>
      </c>
      <c r="E57" s="3" t="n">
        <v>2050</v>
      </c>
      <c r="F57" s="3" t="n">
        <v>2050</v>
      </c>
      <c r="G57" s="3" t="n">
        <v>2050</v>
      </c>
      <c r="H57" s="3" t="n">
        <v>2134</v>
      </c>
      <c r="I57" s="9" t="s">
        <v>123</v>
      </c>
      <c r="J57" s="4" t="n">
        <f aca="false">H57/G57-1</f>
        <v>0.0409756097560976</v>
      </c>
      <c r="K57" s="4" t="n">
        <f aca="false">H57/F57-1</f>
        <v>0.0409756097560976</v>
      </c>
      <c r="L57" s="0" t="str">
        <f aca="false">IF(AND(J57&gt;=0.05,K57&gt;0),"예","")</f>
        <v/>
      </c>
      <c r="M57" s="4" t="n">
        <v>-0.0246800731261426</v>
      </c>
      <c r="N57" s="5" t="s">
        <v>306</v>
      </c>
      <c r="O57" s="8" t="s">
        <v>45</v>
      </c>
    </row>
    <row r="58" customFormat="false" ht="15" hidden="false" customHeight="false" outlineLevel="0" collapsed="false">
      <c r="A58" s="0" t="s">
        <v>307</v>
      </c>
      <c r="B58" s="0" t="s">
        <v>308</v>
      </c>
      <c r="C58" s="0" t="s">
        <v>39</v>
      </c>
      <c r="D58" s="0" t="s">
        <v>56</v>
      </c>
      <c r="E58" s="3" t="n">
        <v>1160</v>
      </c>
      <c r="F58" s="3" t="n">
        <v>1240</v>
      </c>
      <c r="G58" s="3" t="n">
        <v>1200</v>
      </c>
      <c r="H58" s="3" t="n">
        <v>1248</v>
      </c>
      <c r="I58" s="5" t="s">
        <v>43</v>
      </c>
      <c r="J58" s="4" t="n">
        <f aca="false">H58/G58-1</f>
        <v>0.04</v>
      </c>
      <c r="K58" s="4" t="n">
        <f aca="false">H58/F58-1</f>
        <v>0.00645161290322571</v>
      </c>
      <c r="L58" s="0" t="str">
        <f aca="false">IF(AND(J58&gt;=0.05,K58&gt;0),"예","")</f>
        <v/>
      </c>
      <c r="M58" s="4" t="n">
        <v>0.282631038026721</v>
      </c>
      <c r="N58" s="5" t="s">
        <v>309</v>
      </c>
      <c r="O58" s="8" t="s">
        <v>45</v>
      </c>
    </row>
    <row r="59" customFormat="false" ht="15" hidden="false" customHeight="false" outlineLevel="0" collapsed="false">
      <c r="A59" s="0" t="s">
        <v>310</v>
      </c>
      <c r="B59" s="0" t="s">
        <v>311</v>
      </c>
      <c r="C59" s="0" t="s">
        <v>54</v>
      </c>
      <c r="D59" s="0" t="s">
        <v>56</v>
      </c>
      <c r="E59" s="3" t="n">
        <v>2600</v>
      </c>
      <c r="F59" s="3" t="n">
        <v>2700</v>
      </c>
      <c r="G59" s="3" t="n">
        <v>2650</v>
      </c>
      <c r="H59" s="3" t="n">
        <v>2756</v>
      </c>
      <c r="I59" s="9" t="s">
        <v>50</v>
      </c>
      <c r="J59" s="4" t="n">
        <f aca="false">H59/G59-1</f>
        <v>0.04</v>
      </c>
      <c r="K59" s="4" t="n">
        <f aca="false">H59/F59-1</f>
        <v>0.0207407407407407</v>
      </c>
      <c r="L59" s="0" t="str">
        <f aca="false">IF(AND(J59&gt;=0.05,K59&gt;0),"예","")</f>
        <v/>
      </c>
      <c r="M59" s="4" t="n">
        <v>0.00327630141973057</v>
      </c>
      <c r="N59" s="5" t="s">
        <v>312</v>
      </c>
      <c r="O59" s="8" t="s">
        <v>45</v>
      </c>
    </row>
    <row r="60" customFormat="false" ht="15" hidden="false" customHeight="false" outlineLevel="0" collapsed="false">
      <c r="A60" s="0" t="s">
        <v>313</v>
      </c>
      <c r="B60" s="0" t="s">
        <v>314</v>
      </c>
      <c r="C60" s="0" t="s">
        <v>263</v>
      </c>
      <c r="D60" s="0" t="s">
        <v>56</v>
      </c>
      <c r="E60" s="3" t="n">
        <v>830</v>
      </c>
      <c r="F60" s="3" t="n">
        <v>850</v>
      </c>
      <c r="G60" s="3" t="n">
        <v>840</v>
      </c>
      <c r="H60" s="3" t="n">
        <v>872.3</v>
      </c>
      <c r="I60" s="9" t="s">
        <v>50</v>
      </c>
      <c r="J60" s="4" t="n">
        <f aca="false">H60/G60-1</f>
        <v>0.0384523809523809</v>
      </c>
      <c r="K60" s="4" t="n">
        <f aca="false">H60/F60-1</f>
        <v>0.0262352941176469</v>
      </c>
      <c r="L60" s="0" t="str">
        <f aca="false">IF(AND(J60&gt;=0.05,K60&gt;0),"예","")</f>
        <v/>
      </c>
      <c r="M60" s="4" t="n">
        <v>0.138030006523157</v>
      </c>
      <c r="N60" s="5" t="s">
        <v>315</v>
      </c>
      <c r="O60" s="8" t="s">
        <v>45</v>
      </c>
    </row>
    <row r="61" customFormat="false" ht="15" hidden="false" customHeight="false" outlineLevel="0" collapsed="false">
      <c r="A61" s="0" t="s">
        <v>316</v>
      </c>
      <c r="B61" s="0" t="s">
        <v>317</v>
      </c>
      <c r="C61" s="0" t="s">
        <v>39</v>
      </c>
      <c r="D61" s="0" t="s">
        <v>56</v>
      </c>
      <c r="E61" s="3" t="n">
        <v>245</v>
      </c>
      <c r="F61" s="3" t="n">
        <v>255</v>
      </c>
      <c r="G61" s="3" t="n">
        <v>250</v>
      </c>
      <c r="H61" s="3" t="n">
        <v>259.243</v>
      </c>
      <c r="I61" s="9" t="s">
        <v>50</v>
      </c>
      <c r="J61" s="4" t="n">
        <f aca="false">H61/G61-1</f>
        <v>0.036972</v>
      </c>
      <c r="K61" s="4" t="n">
        <f aca="false">H61/F61-1</f>
        <v>0.0166392156862745</v>
      </c>
      <c r="L61" s="0" t="str">
        <f aca="false">IF(AND(J61&gt;=0.05,K61&gt;0),"예","")</f>
        <v/>
      </c>
      <c r="M61" s="4" t="n">
        <v>0.274516358988225</v>
      </c>
      <c r="N61" s="5" t="s">
        <v>318</v>
      </c>
      <c r="O61" s="8" t="s">
        <v>45</v>
      </c>
    </row>
    <row r="62" customFormat="false" ht="15" hidden="false" customHeight="false" outlineLevel="0" collapsed="false">
      <c r="A62" s="0" t="s">
        <v>319</v>
      </c>
      <c r="B62" s="0" t="s">
        <v>320</v>
      </c>
      <c r="C62" s="0" t="s">
        <v>39</v>
      </c>
      <c r="D62" s="0" t="s">
        <v>56</v>
      </c>
      <c r="E62" s="3" t="n">
        <v>9200</v>
      </c>
      <c r="F62" s="3" t="n">
        <v>10000</v>
      </c>
      <c r="G62" s="3" t="n">
        <v>9600</v>
      </c>
      <c r="H62" s="3" t="n">
        <v>9947</v>
      </c>
      <c r="I62" s="9" t="s">
        <v>50</v>
      </c>
      <c r="J62" s="4" t="n">
        <f aca="false">H62/G62-1</f>
        <v>0.0361458333333333</v>
      </c>
      <c r="K62" s="4" t="n">
        <f aca="false">H62/F62-1</f>
        <v>-0.00529999999999997</v>
      </c>
      <c r="L62" s="0" t="str">
        <f aca="false">IF(AND(J62&gt;=0.05,K62&gt;0),"예","")</f>
        <v/>
      </c>
      <c r="M62" s="4" t="n">
        <v>-0.0403280270139894</v>
      </c>
      <c r="N62" s="5" t="s">
        <v>321</v>
      </c>
      <c r="O62" s="8" t="s">
        <v>45</v>
      </c>
    </row>
    <row r="63" customFormat="false" ht="15" hidden="false" customHeight="false" outlineLevel="0" collapsed="false">
      <c r="A63" s="0" t="s">
        <v>322</v>
      </c>
      <c r="B63" s="0" t="s">
        <v>323</v>
      </c>
      <c r="C63" s="0" t="s">
        <v>39</v>
      </c>
      <c r="D63" s="0" t="s">
        <v>56</v>
      </c>
      <c r="E63" s="3" t="n">
        <v>540</v>
      </c>
      <c r="F63" s="3" t="n">
        <v>556</v>
      </c>
      <c r="G63" s="3" t="n">
        <v>548</v>
      </c>
      <c r="H63" s="3" t="n">
        <v>567.8</v>
      </c>
      <c r="I63" s="9" t="s">
        <v>50</v>
      </c>
      <c r="J63" s="4" t="n">
        <f aca="false">H63/G63-1</f>
        <v>0.0361313868613138</v>
      </c>
      <c r="K63" s="4" t="n">
        <f aca="false">H63/F63-1</f>
        <v>0.0212230215827338</v>
      </c>
      <c r="L63" s="0" t="str">
        <f aca="false">IF(AND(J63&gt;=0.05,K63&gt;0),"예","")</f>
        <v/>
      </c>
      <c r="M63" s="4" t="n">
        <v>0.128154182396185</v>
      </c>
      <c r="N63" s="5" t="s">
        <v>324</v>
      </c>
      <c r="O63" s="8" t="s">
        <v>45</v>
      </c>
    </row>
    <row r="64" customFormat="false" ht="15" hidden="false" customHeight="false" outlineLevel="0" collapsed="false">
      <c r="A64" s="0" t="s">
        <v>325</v>
      </c>
      <c r="B64" s="0" t="s">
        <v>326</v>
      </c>
      <c r="C64" s="0" t="s">
        <v>39</v>
      </c>
      <c r="D64" s="0" t="s">
        <v>56</v>
      </c>
      <c r="E64" s="3" t="n">
        <v>1250</v>
      </c>
      <c r="F64" s="3" t="n">
        <v>1290</v>
      </c>
      <c r="G64" s="3" t="n">
        <v>1270</v>
      </c>
      <c r="H64" s="3" t="n">
        <v>1315.788</v>
      </c>
      <c r="I64" s="9" t="s">
        <v>50</v>
      </c>
      <c r="J64" s="4" t="n">
        <f aca="false">H64/G64-1</f>
        <v>0.0360535433070865</v>
      </c>
      <c r="K64" s="4" t="n">
        <f aca="false">H64/F64-1</f>
        <v>0.0199906976744186</v>
      </c>
      <c r="L64" s="0" t="str">
        <f aca="false">IF(AND(J64&gt;=0.05,K64&gt;0),"예","")</f>
        <v/>
      </c>
      <c r="M64" s="4" t="n">
        <v>0.446410433421422</v>
      </c>
      <c r="N64" s="5" t="s">
        <v>327</v>
      </c>
      <c r="O64" s="8" t="s">
        <v>45</v>
      </c>
    </row>
    <row r="65" customFormat="false" ht="15" hidden="false" customHeight="false" outlineLevel="0" collapsed="false">
      <c r="A65" s="0" t="s">
        <v>328</v>
      </c>
      <c r="B65" s="0" t="s">
        <v>329</v>
      </c>
      <c r="C65" s="0" t="s">
        <v>39</v>
      </c>
      <c r="D65" s="0" t="s">
        <v>89</v>
      </c>
      <c r="E65" s="3" t="n">
        <v>11500</v>
      </c>
      <c r="F65" s="3" t="n">
        <v>12100</v>
      </c>
      <c r="G65" s="3" t="n">
        <v>11800</v>
      </c>
      <c r="H65" s="3" t="n">
        <v>12213</v>
      </c>
      <c r="I65" s="9" t="s">
        <v>50</v>
      </c>
      <c r="J65" s="4" t="n">
        <f aca="false">H65/G65-1</f>
        <v>0.0349999999999999</v>
      </c>
      <c r="K65" s="4" t="n">
        <f aca="false">H65/F65-1</f>
        <v>0.0093388429752066</v>
      </c>
      <c r="L65" s="0" t="str">
        <f aca="false">IF(AND(J65&gt;=0.05,K65&gt;0),"예","")</f>
        <v/>
      </c>
      <c r="M65" s="4" t="n">
        <v>0.336799474605954</v>
      </c>
      <c r="N65" s="5" t="s">
        <v>330</v>
      </c>
      <c r="O65" s="8" t="s">
        <v>45</v>
      </c>
    </row>
    <row r="66" customFormat="false" ht="15" hidden="false" customHeight="false" outlineLevel="0" collapsed="false">
      <c r="A66" s="0" t="s">
        <v>331</v>
      </c>
      <c r="B66" s="0" t="s">
        <v>332</v>
      </c>
      <c r="C66" s="0" t="s">
        <v>39</v>
      </c>
      <c r="D66" s="0" t="s">
        <v>56</v>
      </c>
      <c r="E66" s="3" t="n">
        <v>3200</v>
      </c>
      <c r="F66" s="3" t="n">
        <v>3500</v>
      </c>
      <c r="G66" s="3" t="n">
        <v>3350</v>
      </c>
      <c r="H66" s="3" t="n">
        <v>3464.016</v>
      </c>
      <c r="I66" s="9" t="s">
        <v>50</v>
      </c>
      <c r="J66" s="4" t="n">
        <f aca="false">H66/G66-1</f>
        <v>0.0340346268656717</v>
      </c>
      <c r="K66" s="4" t="n">
        <f aca="false">H66/F66-1</f>
        <v>-0.0102811428571429</v>
      </c>
      <c r="L66" s="0" t="str">
        <f aca="false">IF(AND(J66&gt;=0.05,K66&gt;0),"예","")</f>
        <v/>
      </c>
      <c r="M66" s="4" t="n">
        <v>0.69674788225878</v>
      </c>
      <c r="N66" s="5" t="s">
        <v>333</v>
      </c>
      <c r="O66" s="8" t="s">
        <v>45</v>
      </c>
    </row>
    <row r="67" customFormat="false" ht="15" hidden="false" customHeight="false" outlineLevel="0" collapsed="false">
      <c r="A67" s="0" t="s">
        <v>334</v>
      </c>
      <c r="B67" s="0" t="s">
        <v>335</v>
      </c>
      <c r="C67" s="0" t="s">
        <v>262</v>
      </c>
      <c r="D67" s="0" t="s">
        <v>56</v>
      </c>
      <c r="E67" s="3" t="n">
        <v>1295</v>
      </c>
      <c r="F67" s="3" t="n">
        <v>1295</v>
      </c>
      <c r="G67" s="3" t="n">
        <v>1295</v>
      </c>
      <c r="H67" s="3" t="n">
        <v>1338.809</v>
      </c>
      <c r="I67" s="9" t="s">
        <v>123</v>
      </c>
      <c r="J67" s="4" t="n">
        <f aca="false">H67/G67-1</f>
        <v>0.0338293436293435</v>
      </c>
      <c r="K67" s="4" t="n">
        <f aca="false">H67/F67-1</f>
        <v>0.0338293436293435</v>
      </c>
      <c r="L67" s="0" t="str">
        <f aca="false">IF(AND(J67&gt;=0.05,K67&gt;0),"예","")</f>
        <v/>
      </c>
      <c r="M67" s="4" t="n">
        <v>0.214857127301435</v>
      </c>
      <c r="N67" s="5" t="s">
        <v>336</v>
      </c>
      <c r="O67" s="8" t="s">
        <v>45</v>
      </c>
    </row>
    <row r="68" customFormat="false" ht="15" hidden="false" customHeight="false" outlineLevel="0" collapsed="false">
      <c r="A68" s="0" t="s">
        <v>337</v>
      </c>
      <c r="B68" s="0" t="s">
        <v>338</v>
      </c>
      <c r="C68" s="0" t="s">
        <v>263</v>
      </c>
      <c r="D68" s="0" t="s">
        <v>56</v>
      </c>
      <c r="E68" s="3" t="n">
        <v>151</v>
      </c>
      <c r="F68" s="3" t="n">
        <v>152</v>
      </c>
      <c r="G68" s="3" t="n">
        <v>151.5</v>
      </c>
      <c r="H68" s="3" t="n">
        <v>156.618</v>
      </c>
      <c r="I68" s="9" t="s">
        <v>50</v>
      </c>
      <c r="J68" s="4" t="n">
        <f aca="false">H68/G68-1</f>
        <v>0.0337821782178218</v>
      </c>
      <c r="K68" s="4" t="n">
        <f aca="false">H68/F68-1</f>
        <v>0.0303815789473685</v>
      </c>
      <c r="L68" s="0" t="str">
        <f aca="false">IF(AND(J68&gt;=0.05,K68&gt;0),"예","")</f>
        <v/>
      </c>
      <c r="M68" s="4" t="n">
        <v>0.0733656356870189</v>
      </c>
      <c r="N68" s="5" t="s">
        <v>339</v>
      </c>
      <c r="O68" s="8" t="s">
        <v>45</v>
      </c>
    </row>
    <row r="69" customFormat="false" ht="15" hidden="false" customHeight="false" outlineLevel="0" collapsed="false">
      <c r="A69" s="0" t="s">
        <v>340</v>
      </c>
      <c r="B69" s="0" t="s">
        <v>341</v>
      </c>
      <c r="C69" s="0" t="s">
        <v>39</v>
      </c>
      <c r="D69" s="0" t="s">
        <v>56</v>
      </c>
      <c r="E69" s="3" t="n">
        <v>1910</v>
      </c>
      <c r="F69" s="3" t="n">
        <v>2050</v>
      </c>
      <c r="G69" s="3" t="n">
        <v>1980</v>
      </c>
      <c r="H69" s="3" t="n">
        <v>2045.533</v>
      </c>
      <c r="I69" s="9" t="s">
        <v>50</v>
      </c>
      <c r="J69" s="4" t="n">
        <f aca="false">H69/G69-1</f>
        <v>0.0330974747474746</v>
      </c>
      <c r="K69" s="4" t="n">
        <f aca="false">H69/F69-1</f>
        <v>-0.00217902439024398</v>
      </c>
      <c r="L69" s="0" t="str">
        <f aca="false">IF(AND(J69&gt;=0.05,K69&gt;0),"예","")</f>
        <v/>
      </c>
      <c r="M69" s="4" t="n">
        <v>0.337442691292738</v>
      </c>
      <c r="N69" s="5" t="s">
        <v>342</v>
      </c>
      <c r="O69" s="8" t="s">
        <v>45</v>
      </c>
    </row>
    <row r="70" customFormat="false" ht="15" hidden="false" customHeight="false" outlineLevel="0" collapsed="false">
      <c r="A70" s="0" t="s">
        <v>343</v>
      </c>
      <c r="B70" s="0" t="s">
        <v>344</v>
      </c>
      <c r="C70" s="0" t="s">
        <v>54</v>
      </c>
      <c r="D70" s="0" t="s">
        <v>56</v>
      </c>
      <c r="E70" s="3" t="n">
        <v>428.4</v>
      </c>
      <c r="F70" s="3" t="n">
        <v>433.4</v>
      </c>
      <c r="G70" s="3" t="n">
        <v>430.9</v>
      </c>
      <c r="H70" s="3" t="n">
        <v>444.734</v>
      </c>
      <c r="I70" s="9" t="s">
        <v>50</v>
      </c>
      <c r="J70" s="4" t="n">
        <f aca="false">H70/G70-1</f>
        <v>0.0321048967277791</v>
      </c>
      <c r="K70" s="4" t="n">
        <f aca="false">H70/F70-1</f>
        <v>0.0261513613290263</v>
      </c>
      <c r="L70" s="0" t="str">
        <f aca="false">IF(AND(J70&gt;=0.05,K70&gt;0),"예","")</f>
        <v/>
      </c>
      <c r="M70" s="4" t="n">
        <v>0.109790211535246</v>
      </c>
      <c r="N70" s="5" t="s">
        <v>345</v>
      </c>
      <c r="O70" s="8" t="s">
        <v>45</v>
      </c>
    </row>
    <row r="71" customFormat="false" ht="15" hidden="false" customHeight="false" outlineLevel="0" collapsed="false">
      <c r="A71" s="0" t="s">
        <v>346</v>
      </c>
      <c r="B71" s="0" t="s">
        <v>347</v>
      </c>
      <c r="C71" s="0" t="s">
        <v>39</v>
      </c>
      <c r="D71" s="0" t="s">
        <v>89</v>
      </c>
      <c r="E71" s="3" t="n">
        <v>395</v>
      </c>
      <c r="F71" s="3" t="n">
        <v>400</v>
      </c>
      <c r="G71" s="3" t="n">
        <v>397.5</v>
      </c>
      <c r="H71" s="3" t="n">
        <v>410.256</v>
      </c>
      <c r="I71" s="9" t="s">
        <v>50</v>
      </c>
      <c r="J71" s="4" t="n">
        <f aca="false">H71/G71-1</f>
        <v>0.0320905660377357</v>
      </c>
      <c r="K71" s="4" t="n">
        <f aca="false">H71/F71-1</f>
        <v>0.0256399999999999</v>
      </c>
      <c r="L71" s="0" t="str">
        <f aca="false">IF(AND(J71&gt;=0.05,K71&gt;0),"예","")</f>
        <v/>
      </c>
      <c r="M71" s="4" t="n">
        <v>0.134156050955414</v>
      </c>
      <c r="N71" s="5" t="s">
        <v>348</v>
      </c>
      <c r="O71" s="8" t="s">
        <v>45</v>
      </c>
    </row>
    <row r="72" customFormat="false" ht="15" hidden="false" customHeight="false" outlineLevel="0" collapsed="false">
      <c r="A72" s="0" t="s">
        <v>349</v>
      </c>
      <c r="B72" s="0" t="s">
        <v>350</v>
      </c>
      <c r="C72" s="0" t="s">
        <v>78</v>
      </c>
      <c r="D72" s="0" t="s">
        <v>56</v>
      </c>
      <c r="E72" s="3" t="n">
        <v>1133</v>
      </c>
      <c r="F72" s="3" t="n">
        <v>1153</v>
      </c>
      <c r="G72" s="3" t="n">
        <v>1143</v>
      </c>
      <c r="H72" s="3" t="n">
        <v>1179.654</v>
      </c>
      <c r="I72" s="9" t="s">
        <v>50</v>
      </c>
      <c r="J72" s="4" t="n">
        <f aca="false">H72/G72-1</f>
        <v>0.0320682414698164</v>
      </c>
      <c r="K72" s="4" t="n">
        <f aca="false">H72/F72-1</f>
        <v>0.0231170858629661</v>
      </c>
      <c r="L72" s="0" t="str">
        <f aca="false">IF(AND(J72&gt;=0.05,K72&gt;0),"예","")</f>
        <v/>
      </c>
      <c r="M72" s="4" t="n">
        <v>0.181749241405011</v>
      </c>
      <c r="N72" s="5" t="s">
        <v>351</v>
      </c>
      <c r="O72" s="8" t="s">
        <v>45</v>
      </c>
    </row>
    <row r="73" customFormat="false" ht="15" hidden="false" customHeight="false" outlineLevel="0" collapsed="false">
      <c r="A73" s="0" t="s">
        <v>352</v>
      </c>
      <c r="B73" s="0" t="s">
        <v>353</v>
      </c>
      <c r="C73" s="0" t="s">
        <v>39</v>
      </c>
      <c r="D73" s="0" t="s">
        <v>89</v>
      </c>
      <c r="E73" s="3" t="n">
        <v>3800</v>
      </c>
      <c r="F73" s="3" t="n">
        <v>4000</v>
      </c>
      <c r="G73" s="3" t="n">
        <v>3900</v>
      </c>
      <c r="H73" s="3" t="n">
        <v>4021.899</v>
      </c>
      <c r="I73" s="5" t="s">
        <v>43</v>
      </c>
      <c r="J73" s="4" t="n">
        <f aca="false">H73/G73-1</f>
        <v>0.0312561538461538</v>
      </c>
      <c r="K73" s="4" t="n">
        <f aca="false">H73/F73-1</f>
        <v>0.00547474999999986</v>
      </c>
      <c r="L73" s="0" t="str">
        <f aca="false">IF(AND(J73&gt;=0.05,K73&gt;0),"예","")</f>
        <v/>
      </c>
      <c r="M73" s="4" t="n">
        <v>0.39632398585171</v>
      </c>
      <c r="N73" s="5" t="s">
        <v>354</v>
      </c>
      <c r="O73" s="8" t="s">
        <v>45</v>
      </c>
    </row>
    <row r="74" customFormat="false" ht="15" hidden="false" customHeight="false" outlineLevel="0" collapsed="false">
      <c r="A74" s="0" t="s">
        <v>355</v>
      </c>
      <c r="B74" s="0" t="s">
        <v>356</v>
      </c>
      <c r="C74" s="0" t="s">
        <v>39</v>
      </c>
      <c r="D74" s="0" t="s">
        <v>89</v>
      </c>
      <c r="E74" s="3" t="n">
        <v>725</v>
      </c>
      <c r="F74" s="3" t="n">
        <v>745</v>
      </c>
      <c r="G74" s="3" t="n">
        <v>735</v>
      </c>
      <c r="H74" s="3" t="n">
        <v>757.078</v>
      </c>
      <c r="I74" s="9" t="s">
        <v>50</v>
      </c>
      <c r="J74" s="4" t="n">
        <f aca="false">H74/G74-1</f>
        <v>0.0300380952380952</v>
      </c>
      <c r="K74" s="4" t="n">
        <f aca="false">H74/F74-1</f>
        <v>0.0162120805369128</v>
      </c>
      <c r="L74" s="0" t="str">
        <f aca="false">IF(AND(J74&gt;=0.05,K74&gt;0),"예","")</f>
        <v/>
      </c>
      <c r="M74" s="4" t="n">
        <v>0.158910522037697</v>
      </c>
      <c r="N74" s="5" t="s">
        <v>357</v>
      </c>
      <c r="O74" s="8" t="s">
        <v>45</v>
      </c>
    </row>
    <row r="75" customFormat="false" ht="15" hidden="false" customHeight="false" outlineLevel="0" collapsed="false">
      <c r="A75" s="0" t="s">
        <v>358</v>
      </c>
      <c r="B75" s="0" t="s">
        <v>359</v>
      </c>
      <c r="C75" s="0" t="s">
        <v>39</v>
      </c>
      <c r="D75" s="0" t="s">
        <v>56</v>
      </c>
      <c r="E75" s="3" t="n">
        <v>10900</v>
      </c>
      <c r="F75" s="3" t="n">
        <v>11500</v>
      </c>
      <c r="G75" s="3" t="n">
        <v>11200</v>
      </c>
      <c r="H75" s="3" t="n">
        <v>11536</v>
      </c>
      <c r="I75" s="5" t="s">
        <v>43</v>
      </c>
      <c r="J75" s="4" t="n">
        <f aca="false">H75/G75-1</f>
        <v>0.03</v>
      </c>
      <c r="K75" s="4" t="n">
        <f aca="false">H75/F75-1</f>
        <v>0.00313043478260866</v>
      </c>
      <c r="L75" s="0" t="str">
        <f aca="false">IF(AND(J75&gt;=0.05,K75&gt;0),"예","")</f>
        <v/>
      </c>
      <c r="M75" s="4" t="n">
        <v>0.501106050748211</v>
      </c>
      <c r="N75" s="5" t="s">
        <v>360</v>
      </c>
      <c r="O75" s="8" t="s">
        <v>45</v>
      </c>
    </row>
    <row r="76" customFormat="false" ht="15" hidden="false" customHeight="false" outlineLevel="0" collapsed="false">
      <c r="A76" s="0" t="s">
        <v>361</v>
      </c>
      <c r="B76" s="0" t="s">
        <v>362</v>
      </c>
      <c r="C76" s="0" t="s">
        <v>39</v>
      </c>
      <c r="D76" s="0" t="s">
        <v>56</v>
      </c>
      <c r="E76" s="3" t="n">
        <v>272</v>
      </c>
      <c r="F76" s="3" t="n">
        <v>274</v>
      </c>
      <c r="G76" s="3" t="n">
        <v>273</v>
      </c>
      <c r="H76" s="3" t="n">
        <v>281.184</v>
      </c>
      <c r="I76" s="9" t="s">
        <v>50</v>
      </c>
      <c r="J76" s="4" t="n">
        <f aca="false">H76/G76-1</f>
        <v>0.0299780219780221</v>
      </c>
      <c r="K76" s="4" t="n">
        <f aca="false">H76/F76-1</f>
        <v>0.02621897810219</v>
      </c>
      <c r="L76" s="0" t="str">
        <f aca="false">IF(AND(J76&gt;=0.05,K76&gt;0),"예","")</f>
        <v/>
      </c>
      <c r="M76" s="4" t="n">
        <v>0.285706447187929</v>
      </c>
      <c r="N76" s="5" t="s">
        <v>363</v>
      </c>
      <c r="O76" s="8" t="s">
        <v>45</v>
      </c>
    </row>
    <row r="77" customFormat="false" ht="15" hidden="false" customHeight="false" outlineLevel="0" collapsed="false">
      <c r="A77" s="0" t="s">
        <v>364</v>
      </c>
      <c r="B77" s="0" t="s">
        <v>365</v>
      </c>
      <c r="C77" s="0" t="s">
        <v>39</v>
      </c>
      <c r="D77" s="0" t="s">
        <v>41</v>
      </c>
      <c r="E77" s="3" t="n">
        <v>8100</v>
      </c>
      <c r="F77" s="3" t="n">
        <v>8900</v>
      </c>
      <c r="G77" s="3" t="n">
        <v>8500</v>
      </c>
      <c r="H77" s="3" t="n">
        <v>8751</v>
      </c>
      <c r="I77" s="9" t="s">
        <v>50</v>
      </c>
      <c r="J77" s="4" t="n">
        <f aca="false">H77/G77-1</f>
        <v>0.0295294117647058</v>
      </c>
      <c r="K77" s="4" t="n">
        <f aca="false">H77/F77-1</f>
        <v>-0.0167415730337078</v>
      </c>
      <c r="L77" s="0" t="str">
        <f aca="false">IF(AND(J77&gt;=0.05,K77&gt;0),"예","")</f>
        <v/>
      </c>
      <c r="M77" s="4" t="n">
        <v>0.117910066428207</v>
      </c>
      <c r="N77" s="5" t="s">
        <v>366</v>
      </c>
      <c r="O77" s="8" t="s">
        <v>45</v>
      </c>
    </row>
    <row r="78" customFormat="false" ht="15" hidden="false" customHeight="false" outlineLevel="0" collapsed="false">
      <c r="A78" s="0" t="s">
        <v>367</v>
      </c>
      <c r="B78" s="0" t="s">
        <v>368</v>
      </c>
      <c r="C78" s="0" t="s">
        <v>39</v>
      </c>
      <c r="D78" s="0" t="s">
        <v>56</v>
      </c>
      <c r="E78" s="3" t="n">
        <v>730</v>
      </c>
      <c r="F78" s="3" t="n">
        <v>740</v>
      </c>
      <c r="G78" s="3" t="n">
        <v>735</v>
      </c>
      <c r="H78" s="3" t="n">
        <v>756.7</v>
      </c>
      <c r="I78" s="9" t="s">
        <v>50</v>
      </c>
      <c r="J78" s="4" t="n">
        <f aca="false">H78/G78-1</f>
        <v>0.0295238095238095</v>
      </c>
      <c r="K78" s="4" t="n">
        <f aca="false">H78/F78-1</f>
        <v>0.0225675675675676</v>
      </c>
      <c r="L78" s="0" t="str">
        <f aca="false">IF(AND(J78&gt;=0.05,K78&gt;0),"예","")</f>
        <v/>
      </c>
      <c r="M78" s="4" t="n">
        <v>-0.0217194570135747</v>
      </c>
      <c r="N78" s="5" t="s">
        <v>369</v>
      </c>
      <c r="O78" s="8" t="s">
        <v>45</v>
      </c>
    </row>
    <row r="79" customFormat="false" ht="15" hidden="false" customHeight="false" outlineLevel="0" collapsed="false">
      <c r="A79" s="0" t="s">
        <v>370</v>
      </c>
      <c r="B79" s="0" t="s">
        <v>371</v>
      </c>
      <c r="C79" s="0" t="s">
        <v>54</v>
      </c>
      <c r="D79" s="0" t="s">
        <v>56</v>
      </c>
      <c r="E79" s="3" t="n">
        <v>500</v>
      </c>
      <c r="F79" s="3" t="n">
        <v>510</v>
      </c>
      <c r="G79" s="3" t="n">
        <v>505</v>
      </c>
      <c r="H79" s="3" t="n">
        <v>519.5</v>
      </c>
      <c r="I79" s="9" t="s">
        <v>50</v>
      </c>
      <c r="J79" s="4" t="n">
        <f aca="false">H79/G79-1</f>
        <v>0.0287128712871287</v>
      </c>
      <c r="K79" s="4" t="n">
        <f aca="false">H79/F79-1</f>
        <v>0.0186274509803921</v>
      </c>
      <c r="L79" s="0" t="str">
        <f aca="false">IF(AND(J79&gt;=0.05,K79&gt;0),"예","")</f>
        <v/>
      </c>
      <c r="M79" s="4" t="n">
        <v>0.19151376146789</v>
      </c>
      <c r="N79" s="5" t="s">
        <v>372</v>
      </c>
      <c r="O79" s="8" t="s">
        <v>45</v>
      </c>
    </row>
    <row r="80" customFormat="false" ht="15" hidden="false" customHeight="false" outlineLevel="0" collapsed="false">
      <c r="A80" s="0" t="s">
        <v>373</v>
      </c>
      <c r="B80" s="0" t="s">
        <v>374</v>
      </c>
      <c r="C80" s="0" t="s">
        <v>39</v>
      </c>
      <c r="D80" s="0" t="s">
        <v>89</v>
      </c>
      <c r="E80" s="3" t="n">
        <v>1575</v>
      </c>
      <c r="F80" s="3" t="n">
        <v>1675</v>
      </c>
      <c r="G80" s="3" t="n">
        <v>1625</v>
      </c>
      <c r="H80" s="3" t="n">
        <v>1671.129</v>
      </c>
      <c r="I80" s="5" t="s">
        <v>43</v>
      </c>
      <c r="J80" s="4" t="n">
        <f aca="false">H80/G80-1</f>
        <v>0.028387076923077</v>
      </c>
      <c r="K80" s="4" t="n">
        <f aca="false">H80/F80-1</f>
        <v>-0.00231104477611943</v>
      </c>
      <c r="L80" s="0" t="str">
        <f aca="false">IF(AND(J80&gt;=0.05,K80&gt;0),"예","")</f>
        <v/>
      </c>
      <c r="M80" s="4" t="n">
        <v>0.370468719887484</v>
      </c>
      <c r="N80" s="5" t="s">
        <v>375</v>
      </c>
      <c r="O80" s="8" t="s">
        <v>45</v>
      </c>
    </row>
    <row r="81" customFormat="false" ht="15" hidden="false" customHeight="false" outlineLevel="0" collapsed="false">
      <c r="A81" s="0" t="s">
        <v>376</v>
      </c>
      <c r="B81" s="0" t="s">
        <v>377</v>
      </c>
      <c r="C81" s="0" t="s">
        <v>39</v>
      </c>
      <c r="D81" s="0" t="s">
        <v>56</v>
      </c>
      <c r="E81" s="3" t="n">
        <v>364</v>
      </c>
      <c r="F81" s="3" t="n">
        <v>366</v>
      </c>
      <c r="G81" s="3" t="n">
        <v>365</v>
      </c>
      <c r="H81" s="3" t="n">
        <v>375.207</v>
      </c>
      <c r="I81" s="9" t="s">
        <v>50</v>
      </c>
      <c r="J81" s="4" t="n">
        <f aca="false">H81/G81-1</f>
        <v>0.0279643835616439</v>
      </c>
      <c r="K81" s="4" t="n">
        <f aca="false">H81/F81-1</f>
        <v>0.0251557377049181</v>
      </c>
      <c r="L81" s="0" t="str">
        <f aca="false">IF(AND(J81&gt;=0.05,K81&gt;0),"예","")</f>
        <v/>
      </c>
      <c r="M81" s="4" t="n">
        <v>0.158335880266363</v>
      </c>
      <c r="N81" s="5" t="s">
        <v>378</v>
      </c>
      <c r="O81" s="8" t="s">
        <v>45</v>
      </c>
    </row>
    <row r="82" customFormat="false" ht="15" hidden="false" customHeight="false" outlineLevel="0" collapsed="false">
      <c r="A82" s="0" t="s">
        <v>379</v>
      </c>
      <c r="B82" s="0" t="s">
        <v>380</v>
      </c>
      <c r="C82" s="0" t="s">
        <v>263</v>
      </c>
      <c r="D82" s="0" t="s">
        <v>89</v>
      </c>
      <c r="E82" s="3" t="n">
        <v>902</v>
      </c>
      <c r="F82" s="3" t="n">
        <v>905</v>
      </c>
      <c r="G82" s="3" t="n">
        <v>903.5</v>
      </c>
      <c r="H82" s="3" t="n">
        <v>927.963</v>
      </c>
      <c r="I82" s="9" t="s">
        <v>50</v>
      </c>
      <c r="J82" s="4" t="n">
        <f aca="false">H82/G82-1</f>
        <v>0.0270758162700608</v>
      </c>
      <c r="K82" s="4" t="n">
        <f aca="false">H82/F82-1</f>
        <v>0.0253734806629833</v>
      </c>
      <c r="L82" s="0" t="str">
        <f aca="false">IF(AND(J82&gt;=0.05,K82&gt;0),"예","")</f>
        <v/>
      </c>
      <c r="M82" s="4" t="n">
        <v>0.176004744760044</v>
      </c>
      <c r="N82" s="5" t="s">
        <v>381</v>
      </c>
      <c r="O82" s="8" t="s">
        <v>45</v>
      </c>
    </row>
    <row r="83" customFormat="false" ht="15" hidden="false" customHeight="false" outlineLevel="0" collapsed="false">
      <c r="A83" s="0" t="s">
        <v>382</v>
      </c>
      <c r="B83" s="0" t="s">
        <v>383</v>
      </c>
      <c r="C83" s="0" t="s">
        <v>39</v>
      </c>
      <c r="D83" s="0" t="s">
        <v>89</v>
      </c>
      <c r="E83" s="3" t="n">
        <v>16700</v>
      </c>
      <c r="F83" s="3" t="n">
        <v>16900</v>
      </c>
      <c r="G83" s="3" t="n">
        <v>16800</v>
      </c>
      <c r="H83" s="3" t="n">
        <v>17252</v>
      </c>
      <c r="I83" s="9" t="s">
        <v>50</v>
      </c>
      <c r="J83" s="4" t="n">
        <f aca="false">H83/G83-1</f>
        <v>0.026904761904762</v>
      </c>
      <c r="K83" s="4" t="n">
        <f aca="false">H83/F83-1</f>
        <v>0.0208284023668639</v>
      </c>
      <c r="L83" s="0" t="str">
        <f aca="false">IF(AND(J83&gt;=0.05,K83&gt;0),"예","")</f>
        <v/>
      </c>
      <c r="M83" s="4" t="n">
        <v>0.17576501056362</v>
      </c>
      <c r="N83" s="5" t="s">
        <v>384</v>
      </c>
      <c r="O83" s="8" t="s">
        <v>45</v>
      </c>
    </row>
    <row r="84" customFormat="false" ht="15" hidden="false" customHeight="false" outlineLevel="0" collapsed="false">
      <c r="A84" s="0" t="s">
        <v>385</v>
      </c>
      <c r="B84" s="0" t="s">
        <v>386</v>
      </c>
      <c r="C84" s="0" t="s">
        <v>39</v>
      </c>
      <c r="D84" s="0" t="s">
        <v>56</v>
      </c>
      <c r="E84" s="3" t="n">
        <v>3650</v>
      </c>
      <c r="F84" s="3" t="n">
        <v>3650</v>
      </c>
      <c r="G84" s="3" t="n">
        <v>3650</v>
      </c>
      <c r="H84" s="3" t="n">
        <v>3747</v>
      </c>
      <c r="I84" s="9" t="s">
        <v>123</v>
      </c>
      <c r="J84" s="4" t="n">
        <f aca="false">H84/G84-1</f>
        <v>0.0265753424657533</v>
      </c>
      <c r="K84" s="4" t="n">
        <f aca="false">H84/F84-1</f>
        <v>0.0265753424657533</v>
      </c>
      <c r="L84" s="0" t="str">
        <f aca="false">IF(AND(J84&gt;=0.05,K84&gt;0),"예","")</f>
        <v/>
      </c>
      <c r="M84" s="4" t="n">
        <v>0.438387715930902</v>
      </c>
      <c r="N84" s="5" t="s">
        <v>387</v>
      </c>
      <c r="O84" s="8" t="s">
        <v>45</v>
      </c>
    </row>
    <row r="85" customFormat="false" ht="15" hidden="false" customHeight="false" outlineLevel="0" collapsed="false">
      <c r="A85" s="0" t="s">
        <v>388</v>
      </c>
      <c r="B85" s="0" t="s">
        <v>389</v>
      </c>
      <c r="C85" s="0" t="s">
        <v>54</v>
      </c>
      <c r="D85" s="0" t="s">
        <v>56</v>
      </c>
      <c r="E85" s="3" t="n">
        <v>950</v>
      </c>
      <c r="F85" s="3" t="n">
        <v>980</v>
      </c>
      <c r="G85" s="3" t="n">
        <v>965</v>
      </c>
      <c r="H85" s="3" t="n">
        <v>990.6</v>
      </c>
      <c r="I85" s="9" t="s">
        <v>50</v>
      </c>
      <c r="J85" s="4" t="n">
        <f aca="false">H85/G85-1</f>
        <v>0.0265284974093265</v>
      </c>
      <c r="K85" s="4" t="n">
        <f aca="false">H85/F85-1</f>
        <v>0.0108163265306123</v>
      </c>
      <c r="L85" s="0" t="str">
        <f aca="false">IF(AND(J85&gt;=0.05,K85&gt;0),"예","")</f>
        <v/>
      </c>
      <c r="M85" s="4" t="n">
        <v>0.0500317998728006</v>
      </c>
      <c r="N85" s="5" t="s">
        <v>390</v>
      </c>
      <c r="O85" s="8" t="s">
        <v>45</v>
      </c>
    </row>
    <row r="86" customFormat="false" ht="15" hidden="false" customHeight="false" outlineLevel="0" collapsed="false">
      <c r="A86" s="0" t="s">
        <v>391</v>
      </c>
      <c r="B86" s="0" t="s">
        <v>392</v>
      </c>
      <c r="C86" s="0" t="s">
        <v>39</v>
      </c>
      <c r="D86" s="0" t="s">
        <v>56</v>
      </c>
      <c r="E86" s="3" t="n">
        <v>427</v>
      </c>
      <c r="F86" s="3" t="n">
        <v>437</v>
      </c>
      <c r="G86" s="3" t="n">
        <v>432</v>
      </c>
      <c r="H86" s="3" t="n">
        <v>443.1</v>
      </c>
      <c r="I86" s="9" t="s">
        <v>50</v>
      </c>
      <c r="J86" s="4" t="n">
        <f aca="false">H86/G86-1</f>
        <v>0.0256944444444445</v>
      </c>
      <c r="K86" s="4" t="n">
        <f aca="false">H86/F86-1</f>
        <v>0.0139588100686499</v>
      </c>
      <c r="L86" s="0" t="str">
        <f aca="false">IF(AND(J86&gt;=0.05,K86&gt;0),"예","")</f>
        <v/>
      </c>
      <c r="M86" s="4" t="n">
        <v>0.525301204819277</v>
      </c>
      <c r="N86" s="5" t="s">
        <v>393</v>
      </c>
      <c r="O86" s="8" t="s">
        <v>45</v>
      </c>
    </row>
    <row r="87" customFormat="false" ht="15" hidden="false" customHeight="false" outlineLevel="0" collapsed="false">
      <c r="A87" s="0" t="s">
        <v>394</v>
      </c>
      <c r="B87" s="0" t="s">
        <v>395</v>
      </c>
      <c r="C87" s="0" t="s">
        <v>39</v>
      </c>
      <c r="D87" s="0" t="s">
        <v>89</v>
      </c>
      <c r="E87" s="3" t="n">
        <v>875</v>
      </c>
      <c r="F87" s="3" t="n">
        <v>878</v>
      </c>
      <c r="G87" s="3" t="n">
        <v>876.5</v>
      </c>
      <c r="H87" s="3" t="n">
        <v>898.185</v>
      </c>
      <c r="I87" s="9" t="s">
        <v>50</v>
      </c>
      <c r="J87" s="4" t="n">
        <f aca="false">H87/G87-1</f>
        <v>0.0247404449515116</v>
      </c>
      <c r="K87" s="4" t="n">
        <f aca="false">H87/F87-1</f>
        <v>0.0229897494305238</v>
      </c>
      <c r="L87" s="0" t="str">
        <f aca="false">IF(AND(J87&gt;=0.05,K87&gt;0),"예","")</f>
        <v/>
      </c>
      <c r="M87" s="4" t="n">
        <v>0.248821649940353</v>
      </c>
      <c r="N87" s="5" t="s">
        <v>396</v>
      </c>
      <c r="O87" s="8" t="s">
        <v>45</v>
      </c>
    </row>
    <row r="88" customFormat="false" ht="15" hidden="false" customHeight="false" outlineLevel="0" collapsed="false">
      <c r="A88" s="0" t="s">
        <v>397</v>
      </c>
      <c r="B88" s="0" t="s">
        <v>398</v>
      </c>
      <c r="C88" s="0" t="s">
        <v>54</v>
      </c>
      <c r="D88" s="0" t="s">
        <v>56</v>
      </c>
      <c r="E88" s="3" t="n">
        <v>2175</v>
      </c>
      <c r="F88" s="3" t="n">
        <v>2225</v>
      </c>
      <c r="G88" s="3" t="n">
        <v>2200</v>
      </c>
      <c r="H88" s="3" t="n">
        <v>2254</v>
      </c>
      <c r="I88" s="9" t="s">
        <v>50</v>
      </c>
      <c r="J88" s="4" t="n">
        <f aca="false">H88/G88-1</f>
        <v>0.0245454545454546</v>
      </c>
      <c r="K88" s="4" t="n">
        <f aca="false">H88/F88-1</f>
        <v>0.0130337078651686</v>
      </c>
      <c r="L88" s="0" t="str">
        <f aca="false">IF(AND(J88&gt;=0.05,K88&gt;0),"예","")</f>
        <v/>
      </c>
      <c r="M88" s="4" t="n">
        <v>0.132663316582915</v>
      </c>
      <c r="N88" s="5" t="s">
        <v>399</v>
      </c>
      <c r="O88" s="8" t="s">
        <v>45</v>
      </c>
    </row>
    <row r="89" customFormat="false" ht="15" hidden="false" customHeight="false" outlineLevel="0" collapsed="false">
      <c r="A89" s="0" t="s">
        <v>400</v>
      </c>
      <c r="B89" s="0" t="s">
        <v>401</v>
      </c>
      <c r="C89" s="0" t="s">
        <v>263</v>
      </c>
      <c r="D89" s="0" t="s">
        <v>56</v>
      </c>
      <c r="E89" s="3" t="n">
        <v>1660</v>
      </c>
      <c r="F89" s="3" t="n">
        <v>1740</v>
      </c>
      <c r="G89" s="3" t="n">
        <v>1700</v>
      </c>
      <c r="H89" s="3" t="n">
        <v>1741</v>
      </c>
      <c r="I89" s="9" t="s">
        <v>50</v>
      </c>
      <c r="J89" s="4" t="n">
        <f aca="false">H89/G89-1</f>
        <v>0.0241176470588236</v>
      </c>
      <c r="K89" s="4" t="n">
        <f aca="false">H89/F89-1</f>
        <v>0.000574712643678144</v>
      </c>
      <c r="L89" s="0" t="str">
        <f aca="false">IF(AND(J89&gt;=0.05,K89&gt;0),"예","")</f>
        <v/>
      </c>
      <c r="M89" s="4" t="n">
        <v>0.136274637775747</v>
      </c>
      <c r="N89" s="5" t="s">
        <v>402</v>
      </c>
      <c r="O89" s="8" t="s">
        <v>45</v>
      </c>
    </row>
    <row r="90" customFormat="false" ht="15" hidden="false" customHeight="false" outlineLevel="0" collapsed="false">
      <c r="A90" s="0" t="s">
        <v>403</v>
      </c>
      <c r="B90" s="0" t="s">
        <v>404</v>
      </c>
      <c r="C90" s="0" t="s">
        <v>39</v>
      </c>
      <c r="D90" s="0" t="s">
        <v>56</v>
      </c>
      <c r="E90" s="3" t="n">
        <v>3375</v>
      </c>
      <c r="F90" s="3" t="n">
        <v>3775</v>
      </c>
      <c r="G90" s="3" t="n">
        <v>3575</v>
      </c>
      <c r="H90" s="3" t="n">
        <v>3657.556</v>
      </c>
      <c r="I90" s="5" t="s">
        <v>43</v>
      </c>
      <c r="J90" s="4" t="n">
        <f aca="false">H90/G90-1</f>
        <v>0.0230925874125874</v>
      </c>
      <c r="K90" s="4" t="n">
        <f aca="false">H90/F90-1</f>
        <v>-0.0311109933774835</v>
      </c>
      <c r="L90" s="0" t="str">
        <f aca="false">IF(AND(J90&gt;=0.05,K90&gt;0),"예","")</f>
        <v/>
      </c>
      <c r="M90" s="4" t="n">
        <v>0.152080122441484</v>
      </c>
      <c r="N90" s="5" t="s">
        <v>405</v>
      </c>
      <c r="O90" s="8" t="s">
        <v>45</v>
      </c>
    </row>
    <row r="91" customFormat="false" ht="15" hidden="false" customHeight="false" outlineLevel="0" collapsed="false">
      <c r="A91" s="0" t="s">
        <v>406</v>
      </c>
      <c r="B91" s="0" t="s">
        <v>407</v>
      </c>
      <c r="C91" s="0" t="s">
        <v>39</v>
      </c>
      <c r="D91" s="0" t="s">
        <v>56</v>
      </c>
      <c r="E91" s="3" t="n">
        <v>938</v>
      </c>
      <c r="F91" s="3" t="n">
        <v>963</v>
      </c>
      <c r="G91" s="3" t="n">
        <v>950.5</v>
      </c>
      <c r="H91" s="3" t="n">
        <v>972</v>
      </c>
      <c r="I91" s="9" t="s">
        <v>50</v>
      </c>
      <c r="J91" s="4" t="n">
        <f aca="false">H91/G91-1</f>
        <v>0.0226196738558653</v>
      </c>
      <c r="K91" s="4" t="n">
        <f aca="false">H91/F91-1</f>
        <v>0.00934579439252326</v>
      </c>
      <c r="L91" s="0" t="str">
        <f aca="false">IF(AND(J91&gt;=0.05,K91&gt;0),"예","")</f>
        <v/>
      </c>
      <c r="M91" s="4" t="n">
        <v>0.109969167523125</v>
      </c>
      <c r="N91" s="5" t="s">
        <v>408</v>
      </c>
      <c r="O91" s="8" t="s">
        <v>45</v>
      </c>
    </row>
    <row r="92" customFormat="false" ht="15" hidden="false" customHeight="false" outlineLevel="0" collapsed="false">
      <c r="A92" s="0" t="s">
        <v>409</v>
      </c>
      <c r="B92" s="0" t="s">
        <v>409</v>
      </c>
      <c r="C92" s="0" t="s">
        <v>262</v>
      </c>
      <c r="D92" s="0" t="s">
        <v>56</v>
      </c>
      <c r="E92" s="3" t="n">
        <v>727</v>
      </c>
      <c r="F92" s="3" t="n">
        <v>747</v>
      </c>
      <c r="G92" s="3" t="n">
        <v>737</v>
      </c>
      <c r="H92" s="3" t="n">
        <v>753.6</v>
      </c>
      <c r="I92" s="9" t="s">
        <v>50</v>
      </c>
      <c r="J92" s="4" t="n">
        <f aca="false">H92/G92-1</f>
        <v>0.0225237449118048</v>
      </c>
      <c r="K92" s="4" t="n">
        <f aca="false">H92/F92-1</f>
        <v>0.00883534136546182</v>
      </c>
      <c r="L92" s="0" t="str">
        <f aca="false">IF(AND(J92&gt;=0.05,K92&gt;0),"예","")</f>
        <v/>
      </c>
      <c r="M92" s="4" t="n">
        <v>0.14251061249242</v>
      </c>
      <c r="N92" s="5" t="s">
        <v>410</v>
      </c>
      <c r="O92" s="8" t="s">
        <v>45</v>
      </c>
    </row>
    <row r="93" customFormat="false" ht="15" hidden="false" customHeight="false" outlineLevel="0" collapsed="false">
      <c r="A93" s="0" t="s">
        <v>411</v>
      </c>
      <c r="B93" s="0" t="s">
        <v>412</v>
      </c>
      <c r="C93" s="0" t="s">
        <v>39</v>
      </c>
      <c r="D93" s="0" t="s">
        <v>89</v>
      </c>
      <c r="E93" s="3" t="n">
        <v>1436</v>
      </c>
      <c r="F93" s="3" t="n">
        <v>1442</v>
      </c>
      <c r="G93" s="3" t="n">
        <v>1439</v>
      </c>
      <c r="H93" s="3" t="n">
        <v>1470.897</v>
      </c>
      <c r="I93" s="9" t="s">
        <v>50</v>
      </c>
      <c r="J93" s="4" t="n">
        <f aca="false">H93/G93-1</f>
        <v>0.0221660875608061</v>
      </c>
      <c r="K93" s="4" t="n">
        <f aca="false">H93/F93-1</f>
        <v>0.0200395284327324</v>
      </c>
      <c r="L93" s="0" t="str">
        <f aca="false">IF(AND(J93&gt;=0.05,K93&gt;0),"예","")</f>
        <v/>
      </c>
      <c r="M93" s="4" t="n">
        <v>0.258304019326713</v>
      </c>
      <c r="N93" s="5" t="s">
        <v>413</v>
      </c>
      <c r="O93" s="8" t="s">
        <v>45</v>
      </c>
    </row>
    <row r="94" customFormat="false" ht="15" hidden="false" customHeight="false" outlineLevel="0" collapsed="false">
      <c r="A94" s="0" t="s">
        <v>414</v>
      </c>
      <c r="B94" s="0" t="s">
        <v>415</v>
      </c>
      <c r="C94" s="0" t="s">
        <v>78</v>
      </c>
      <c r="D94" s="0" t="s">
        <v>56</v>
      </c>
      <c r="E94" s="3" t="n">
        <v>58000</v>
      </c>
      <c r="F94" s="3" t="n">
        <v>61000</v>
      </c>
      <c r="G94" s="3" t="n">
        <v>59500</v>
      </c>
      <c r="H94" s="3" t="n">
        <v>60801</v>
      </c>
      <c r="I94" s="9" t="s">
        <v>50</v>
      </c>
      <c r="J94" s="4" t="n">
        <f aca="false">H94/G94-1</f>
        <v>0.0218655462184874</v>
      </c>
      <c r="K94" s="4" t="n">
        <f aca="false">H94/F94-1</f>
        <v>-0.00326229508196718</v>
      </c>
      <c r="L94" s="0" t="str">
        <f aca="false">IF(AND(J94&gt;=0.05,K94&gt;0),"예","")</f>
        <v/>
      </c>
      <c r="M94" s="4" t="n">
        <v>0.279590032831046</v>
      </c>
      <c r="N94" s="5" t="s">
        <v>416</v>
      </c>
      <c r="O94" s="8" t="s">
        <v>45</v>
      </c>
    </row>
    <row r="95" customFormat="false" ht="15" hidden="false" customHeight="false" outlineLevel="0" collapsed="false">
      <c r="A95" s="0" t="s">
        <v>417</v>
      </c>
      <c r="B95" s="0" t="s">
        <v>418</v>
      </c>
      <c r="C95" s="0" t="s">
        <v>39</v>
      </c>
      <c r="D95" s="0" t="s">
        <v>56</v>
      </c>
      <c r="E95" s="3" t="n">
        <v>960</v>
      </c>
      <c r="F95" s="3" t="n">
        <v>1010</v>
      </c>
      <c r="G95" s="3" t="n">
        <v>985</v>
      </c>
      <c r="H95" s="3" t="n">
        <v>1006.3</v>
      </c>
      <c r="I95" s="9" t="s">
        <v>50</v>
      </c>
      <c r="J95" s="4" t="n">
        <f aca="false">H95/G95-1</f>
        <v>0.0216243654822335</v>
      </c>
      <c r="K95" s="4" t="n">
        <f aca="false">H95/F95-1</f>
        <v>-0.00366336633663367</v>
      </c>
      <c r="L95" s="0" t="str">
        <f aca="false">IF(AND(J95&gt;=0.05,K95&gt;0),"예","")</f>
        <v/>
      </c>
      <c r="M95" s="4" t="n">
        <v>1.09340545038486</v>
      </c>
      <c r="N95" s="5" t="s">
        <v>419</v>
      </c>
      <c r="O95" s="8" t="s">
        <v>45</v>
      </c>
    </row>
    <row r="96" customFormat="false" ht="15" hidden="false" customHeight="false" outlineLevel="0" collapsed="false">
      <c r="A96" s="0" t="s">
        <v>420</v>
      </c>
      <c r="B96" s="0" t="s">
        <v>421</v>
      </c>
      <c r="C96" s="0" t="s">
        <v>39</v>
      </c>
      <c r="D96" s="0" t="s">
        <v>56</v>
      </c>
      <c r="E96" s="3" t="n">
        <v>331</v>
      </c>
      <c r="F96" s="3" t="n">
        <v>339</v>
      </c>
      <c r="G96" s="3" t="n">
        <v>335</v>
      </c>
      <c r="H96" s="3" t="n">
        <v>342.237</v>
      </c>
      <c r="I96" s="9" t="s">
        <v>50</v>
      </c>
      <c r="J96" s="4" t="n">
        <f aca="false">H96/G96-1</f>
        <v>0.0216029850746269</v>
      </c>
      <c r="K96" s="4" t="n">
        <f aca="false">H96/F96-1</f>
        <v>0.00954867256637182</v>
      </c>
      <c r="L96" s="0" t="str">
        <f aca="false">IF(AND(J96&gt;=0.05,K96&gt;0),"예","")</f>
        <v/>
      </c>
      <c r="M96" s="4" t="n">
        <v>0.357657718413672</v>
      </c>
      <c r="N96" s="5" t="s">
        <v>422</v>
      </c>
      <c r="O96" s="8" t="s">
        <v>45</v>
      </c>
    </row>
    <row r="97" customFormat="false" ht="15" hidden="false" customHeight="false" outlineLevel="0" collapsed="false">
      <c r="A97" s="0" t="s">
        <v>423</v>
      </c>
      <c r="B97" s="0" t="s">
        <v>424</v>
      </c>
      <c r="C97" s="0" t="s">
        <v>39</v>
      </c>
      <c r="D97" s="0" t="s">
        <v>56</v>
      </c>
      <c r="E97" s="3" t="n">
        <v>1442</v>
      </c>
      <c r="F97" s="3" t="n">
        <v>1469</v>
      </c>
      <c r="G97" s="3" t="n">
        <v>1455.5</v>
      </c>
      <c r="H97" s="3" t="n">
        <v>1484.7</v>
      </c>
      <c r="I97" s="9" t="s">
        <v>50</v>
      </c>
      <c r="J97" s="4" t="n">
        <f aca="false">H97/G97-1</f>
        <v>0.0200618344211612</v>
      </c>
      <c r="K97" s="4" t="n">
        <f aca="false">H97/F97-1</f>
        <v>0.0106875425459496</v>
      </c>
      <c r="L97" s="0" t="str">
        <f aca="false">IF(AND(J97&gt;=0.05,K97&gt;0),"예","")</f>
        <v/>
      </c>
      <c r="M97" s="4" t="n">
        <v>0.38047419804742</v>
      </c>
      <c r="N97" s="5" t="s">
        <v>425</v>
      </c>
      <c r="O97" s="8" t="s">
        <v>45</v>
      </c>
    </row>
    <row r="98" customFormat="false" ht="15" hidden="false" customHeight="false" outlineLevel="0" collapsed="false">
      <c r="A98" s="0" t="s">
        <v>426</v>
      </c>
      <c r="B98" s="0" t="s">
        <v>427</v>
      </c>
      <c r="C98" s="0" t="s">
        <v>39</v>
      </c>
      <c r="D98" s="0" t="s">
        <v>89</v>
      </c>
      <c r="E98" s="3" t="n">
        <v>465</v>
      </c>
      <c r="F98" s="3" t="n">
        <v>475</v>
      </c>
      <c r="G98" s="3" t="n">
        <v>470</v>
      </c>
      <c r="H98" s="3" t="n">
        <v>479.003</v>
      </c>
      <c r="I98" s="9" t="s">
        <v>50</v>
      </c>
      <c r="J98" s="4" t="n">
        <f aca="false">H98/G98-1</f>
        <v>0.0191553191489362</v>
      </c>
      <c r="K98" s="4" t="n">
        <f aca="false">H98/F98-1</f>
        <v>0.00842736842105252</v>
      </c>
      <c r="L98" s="0" t="str">
        <f aca="false">IF(AND(J98&gt;=0.05,K98&gt;0),"예","")</f>
        <v/>
      </c>
      <c r="M98" s="4" t="n">
        <v>1.14728296439747</v>
      </c>
      <c r="N98" s="5" t="s">
        <v>428</v>
      </c>
      <c r="O98" s="8" t="s">
        <v>45</v>
      </c>
    </row>
    <row r="99" customFormat="false" ht="15" hidden="false" customHeight="false" outlineLevel="0" collapsed="false">
      <c r="A99" s="0" t="s">
        <v>429</v>
      </c>
      <c r="B99" s="0" t="s">
        <v>430</v>
      </c>
      <c r="C99" s="0" t="s">
        <v>267</v>
      </c>
      <c r="D99" s="0" t="s">
        <v>56</v>
      </c>
      <c r="E99" s="3" t="n">
        <v>750</v>
      </c>
      <c r="F99" s="3" t="n">
        <v>765</v>
      </c>
      <c r="G99" s="3" t="n">
        <v>757.5</v>
      </c>
      <c r="H99" s="3" t="n">
        <v>772</v>
      </c>
      <c r="I99" s="9" t="s">
        <v>50</v>
      </c>
      <c r="J99" s="4" t="n">
        <f aca="false">H99/G99-1</f>
        <v>0.0191419141914191</v>
      </c>
      <c r="K99" s="4" t="n">
        <f aca="false">H99/F99-1</f>
        <v>0.00915032679738559</v>
      </c>
      <c r="L99" s="0" t="str">
        <f aca="false">IF(AND(J99&gt;=0.05,K99&gt;0),"예","")</f>
        <v/>
      </c>
      <c r="M99" s="4" t="n">
        <v>0.178625954198473</v>
      </c>
      <c r="N99" s="5" t="s">
        <v>431</v>
      </c>
      <c r="O99" s="8" t="s">
        <v>45</v>
      </c>
    </row>
    <row r="100" customFormat="false" ht="15" hidden="false" customHeight="false" outlineLevel="0" collapsed="false">
      <c r="A100" s="0" t="s">
        <v>432</v>
      </c>
      <c r="B100" s="0" t="s">
        <v>433</v>
      </c>
      <c r="C100" s="0" t="s">
        <v>39</v>
      </c>
      <c r="D100" s="0" t="s">
        <v>56</v>
      </c>
      <c r="E100" s="3" t="n">
        <v>6200</v>
      </c>
      <c r="F100" s="3" t="n">
        <v>7000</v>
      </c>
      <c r="G100" s="3" t="n">
        <v>6600</v>
      </c>
      <c r="H100" s="3" t="n">
        <v>6722.238</v>
      </c>
      <c r="I100" s="5" t="s">
        <v>43</v>
      </c>
      <c r="J100" s="4" t="n">
        <f aca="false">H100/G100-1</f>
        <v>0.0185209090909091</v>
      </c>
      <c r="K100" s="4" t="n">
        <f aca="false">H100/F100-1</f>
        <v>-0.0396802857142857</v>
      </c>
      <c r="L100" s="0" t="str">
        <f aca="false">IF(AND(J100&gt;=0.05,K100&gt;0),"예","")</f>
        <v/>
      </c>
      <c r="M100" s="4" t="n">
        <v>0.299889217470032</v>
      </c>
      <c r="N100" s="5" t="s">
        <v>434</v>
      </c>
      <c r="O100" s="8" t="s">
        <v>45</v>
      </c>
    </row>
    <row r="101" customFormat="false" ht="15" hidden="false" customHeight="false" outlineLevel="0" collapsed="false">
      <c r="A101" s="0" t="s">
        <v>435</v>
      </c>
      <c r="B101" s="0" t="s">
        <v>436</v>
      </c>
      <c r="C101" s="0" t="s">
        <v>39</v>
      </c>
      <c r="D101" s="0" t="s">
        <v>89</v>
      </c>
      <c r="E101" s="3" t="n">
        <v>8450</v>
      </c>
      <c r="F101" s="3" t="n">
        <v>9450</v>
      </c>
      <c r="G101" s="3" t="n">
        <v>8950</v>
      </c>
      <c r="H101" s="3" t="n">
        <v>9115</v>
      </c>
      <c r="I101" s="5" t="s">
        <v>43</v>
      </c>
      <c r="J101" s="4" t="n">
        <f aca="false">H101/G101-1</f>
        <v>0.018435754189944</v>
      </c>
      <c r="K101" s="4" t="n">
        <f aca="false">H101/F101-1</f>
        <v>-0.0354497354497354</v>
      </c>
      <c r="L101" s="0" t="str">
        <f aca="false">IF(AND(J101&gt;=0.05,K101&gt;0),"예","")</f>
        <v/>
      </c>
      <c r="M101" s="4" t="n">
        <v>0.248288140235552</v>
      </c>
      <c r="N101" s="5" t="s">
        <v>437</v>
      </c>
      <c r="O101" s="8" t="s">
        <v>45</v>
      </c>
    </row>
    <row r="102" customFormat="false" ht="15" hidden="false" customHeight="false" outlineLevel="0" collapsed="false">
      <c r="A102" s="0" t="s">
        <v>438</v>
      </c>
      <c r="B102" s="0" t="s">
        <v>439</v>
      </c>
      <c r="C102" s="0" t="s">
        <v>39</v>
      </c>
      <c r="D102" s="0" t="s">
        <v>89</v>
      </c>
      <c r="E102" s="3" t="n">
        <v>469</v>
      </c>
      <c r="F102" s="3" t="n">
        <v>470</v>
      </c>
      <c r="G102" s="3" t="n">
        <v>469.5</v>
      </c>
      <c r="H102" s="3" t="n">
        <v>478.113</v>
      </c>
      <c r="I102" s="9" t="s">
        <v>50</v>
      </c>
      <c r="J102" s="4" t="n">
        <f aca="false">H102/G102-1</f>
        <v>0.0183450479233227</v>
      </c>
      <c r="K102" s="4" t="n">
        <f aca="false">H102/F102-1</f>
        <v>0.0172617021276595</v>
      </c>
      <c r="L102" s="0" t="str">
        <f aca="false">IF(AND(J102&gt;=0.05,K102&gt;0),"예","")</f>
        <v/>
      </c>
      <c r="M102" s="4" t="n">
        <v>0.151280557107357</v>
      </c>
      <c r="N102" s="5" t="s">
        <v>440</v>
      </c>
      <c r="O102" s="8" t="s">
        <v>45</v>
      </c>
    </row>
    <row r="103" customFormat="false" ht="15" hidden="false" customHeight="false" outlineLevel="0" collapsed="false">
      <c r="A103" s="0" t="s">
        <v>441</v>
      </c>
      <c r="B103" s="0" t="s">
        <v>442</v>
      </c>
      <c r="C103" s="0" t="s">
        <v>39</v>
      </c>
      <c r="D103" s="0" t="s">
        <v>89</v>
      </c>
      <c r="E103" s="3" t="n">
        <v>3345</v>
      </c>
      <c r="F103" s="3" t="n">
        <v>3355</v>
      </c>
      <c r="G103" s="3" t="n">
        <v>3350</v>
      </c>
      <c r="H103" s="3" t="n">
        <v>3410</v>
      </c>
      <c r="I103" s="9" t="s">
        <v>50</v>
      </c>
      <c r="J103" s="4" t="n">
        <f aca="false">H103/G103-1</f>
        <v>0.017910447761194</v>
      </c>
      <c r="K103" s="4" t="n">
        <f aca="false">H103/F103-1</f>
        <v>0.0163934426229508</v>
      </c>
      <c r="L103" s="0" t="str">
        <f aca="false">IF(AND(J103&gt;=0.05,K103&gt;0),"예","")</f>
        <v/>
      </c>
      <c r="M103" s="4" t="n">
        <v>0.344478176871821</v>
      </c>
      <c r="N103" s="5" t="s">
        <v>443</v>
      </c>
      <c r="O103" s="8" t="s">
        <v>45</v>
      </c>
    </row>
    <row r="104" customFormat="false" ht="15" hidden="false" customHeight="false" outlineLevel="0" collapsed="false">
      <c r="A104" s="0" t="s">
        <v>444</v>
      </c>
      <c r="B104" s="0" t="s">
        <v>445</v>
      </c>
      <c r="C104" s="0" t="s">
        <v>39</v>
      </c>
      <c r="D104" s="0" t="s">
        <v>89</v>
      </c>
      <c r="E104" s="3" t="n">
        <v>2005</v>
      </c>
      <c r="F104" s="3" t="n">
        <v>2015</v>
      </c>
      <c r="G104" s="3" t="n">
        <v>2010</v>
      </c>
      <c r="H104" s="3" t="n">
        <v>2046</v>
      </c>
      <c r="I104" s="9" t="s">
        <v>50</v>
      </c>
      <c r="J104" s="4" t="n">
        <f aca="false">H104/G104-1</f>
        <v>0.017910447761194</v>
      </c>
      <c r="K104" s="4" t="n">
        <f aca="false">H104/F104-1</f>
        <v>0.0153846153846153</v>
      </c>
      <c r="L104" s="0" t="str">
        <f aca="false">IF(AND(J104&gt;=0.05,K104&gt;0),"예","")</f>
        <v/>
      </c>
      <c r="M104" s="4" t="n">
        <v>0.160521837776517</v>
      </c>
      <c r="N104" s="5" t="s">
        <v>446</v>
      </c>
      <c r="O104" s="8" t="s">
        <v>45</v>
      </c>
    </row>
    <row r="105" customFormat="false" ht="15" hidden="false" customHeight="false" outlineLevel="0" collapsed="false">
      <c r="A105" s="0" t="s">
        <v>447</v>
      </c>
      <c r="B105" s="0" t="s">
        <v>448</v>
      </c>
      <c r="C105" s="0" t="s">
        <v>39</v>
      </c>
      <c r="D105" s="0" t="s">
        <v>56</v>
      </c>
      <c r="E105" s="3" t="n">
        <v>1300</v>
      </c>
      <c r="F105" s="3" t="n">
        <v>1325</v>
      </c>
      <c r="G105" s="3" t="n">
        <v>1312.5</v>
      </c>
      <c r="H105" s="3" t="n">
        <v>1336</v>
      </c>
      <c r="I105" s="9" t="s">
        <v>50</v>
      </c>
      <c r="J105" s="4" t="n">
        <f aca="false">H105/G105-1</f>
        <v>0.0179047619047619</v>
      </c>
      <c r="K105" s="4" t="n">
        <f aca="false">H105/F105-1</f>
        <v>0.00830188679245292</v>
      </c>
      <c r="L105" s="0" t="str">
        <f aca="false">IF(AND(J105&gt;=0.05,K105&gt;0),"예","")</f>
        <v/>
      </c>
      <c r="M105" s="4" t="n">
        <v>0.0628480509148768</v>
      </c>
      <c r="N105" s="5" t="s">
        <v>449</v>
      </c>
      <c r="O105" s="8" t="s">
        <v>45</v>
      </c>
    </row>
    <row r="106" customFormat="false" ht="15" hidden="false" customHeight="false" outlineLevel="0" collapsed="false">
      <c r="A106" s="0" t="s">
        <v>450</v>
      </c>
      <c r="B106" s="0" t="s">
        <v>450</v>
      </c>
      <c r="C106" s="0" t="s">
        <v>39</v>
      </c>
      <c r="D106" s="0" t="s">
        <v>89</v>
      </c>
      <c r="E106" s="3" t="n">
        <v>790</v>
      </c>
      <c r="F106" s="3" t="n">
        <v>794</v>
      </c>
      <c r="G106" s="3" t="n">
        <v>792</v>
      </c>
      <c r="H106" s="3" t="n">
        <v>805</v>
      </c>
      <c r="I106" s="9" t="s">
        <v>50</v>
      </c>
      <c r="J106" s="4" t="n">
        <f aca="false">H106/G106-1</f>
        <v>0.0164141414141414</v>
      </c>
      <c r="K106" s="4" t="n">
        <f aca="false">H106/F106-1</f>
        <v>0.013853904282116</v>
      </c>
      <c r="L106" s="0" t="str">
        <f aca="false">IF(AND(J106&gt;=0.05,K106&gt;0),"예","")</f>
        <v/>
      </c>
      <c r="M106" s="4" t="n">
        <v>0.105769230769231</v>
      </c>
      <c r="N106" s="5" t="s">
        <v>451</v>
      </c>
      <c r="O106" s="8" t="s">
        <v>45</v>
      </c>
    </row>
    <row r="107" customFormat="false" ht="15" hidden="false" customHeight="false" outlineLevel="0" collapsed="false">
      <c r="A107" s="0" t="s">
        <v>452</v>
      </c>
      <c r="B107" s="0" t="s">
        <v>453</v>
      </c>
      <c r="C107" s="0" t="s">
        <v>39</v>
      </c>
      <c r="D107" s="0" t="s">
        <v>56</v>
      </c>
      <c r="E107" s="3" t="n">
        <v>180</v>
      </c>
      <c r="F107" s="3" t="n">
        <v>198</v>
      </c>
      <c r="G107" s="3" t="n">
        <v>189</v>
      </c>
      <c r="H107" s="3" t="n">
        <v>191.922</v>
      </c>
      <c r="I107" s="9" t="s">
        <v>50</v>
      </c>
      <c r="J107" s="4" t="n">
        <f aca="false">H107/G107-1</f>
        <v>0.0154603174603174</v>
      </c>
      <c r="K107" s="4" t="n">
        <f aca="false">H107/F107-1</f>
        <v>-0.0306969696969697</v>
      </c>
      <c r="L107" s="0" t="str">
        <f aca="false">IF(AND(J107&gt;=0.05,K107&gt;0),"예","")</f>
        <v/>
      </c>
      <c r="M107" s="4" t="n">
        <v>0.864189136685057</v>
      </c>
      <c r="N107" s="5" t="s">
        <v>454</v>
      </c>
      <c r="O107" s="8" t="s">
        <v>45</v>
      </c>
    </row>
    <row r="108" customFormat="false" ht="15" hidden="false" customHeight="false" outlineLevel="0" collapsed="false">
      <c r="A108" s="0" t="s">
        <v>455</v>
      </c>
      <c r="B108" s="0" t="s">
        <v>456</v>
      </c>
      <c r="C108" s="0" t="s">
        <v>39</v>
      </c>
      <c r="D108" s="0" t="s">
        <v>89</v>
      </c>
      <c r="E108" s="3" t="n">
        <v>2565</v>
      </c>
      <c r="F108" s="3" t="n">
        <v>2835</v>
      </c>
      <c r="G108" s="3" t="n">
        <v>2700</v>
      </c>
      <c r="H108" s="3" t="n">
        <v>2739.3</v>
      </c>
      <c r="I108" s="5" t="s">
        <v>190</v>
      </c>
      <c r="J108" s="4" t="n">
        <f aca="false">H108/G108-1</f>
        <v>0.0145555555555557</v>
      </c>
      <c r="K108" s="4" t="n">
        <f aca="false">H108/F108-1</f>
        <v>-0.0337566137566137</v>
      </c>
      <c r="L108" s="0" t="str">
        <f aca="false">IF(AND(J108&gt;=0.05,K108&gt;0),"예","")</f>
        <v/>
      </c>
      <c r="M108" s="4" t="n">
        <v>0.365485269926724</v>
      </c>
      <c r="N108" s="5" t="s">
        <v>457</v>
      </c>
      <c r="O108" s="8" t="s">
        <v>45</v>
      </c>
    </row>
    <row r="109" customFormat="false" ht="15" hidden="false" customHeight="false" outlineLevel="0" collapsed="false">
      <c r="A109" s="0" t="s">
        <v>458</v>
      </c>
      <c r="B109" s="0" t="s">
        <v>459</v>
      </c>
      <c r="C109" s="0" t="s">
        <v>39</v>
      </c>
      <c r="D109" s="0" t="s">
        <v>56</v>
      </c>
      <c r="E109" s="3" t="n">
        <v>425</v>
      </c>
      <c r="F109" s="3" t="n">
        <v>435</v>
      </c>
      <c r="G109" s="3" t="n">
        <v>430</v>
      </c>
      <c r="H109" s="3" t="n">
        <v>436.186</v>
      </c>
      <c r="I109" s="9" t="s">
        <v>50</v>
      </c>
      <c r="J109" s="4" t="n">
        <f aca="false">H109/G109-1</f>
        <v>0.0143860465116279</v>
      </c>
      <c r="K109" s="4" t="n">
        <f aca="false">H109/F109-1</f>
        <v>0.00272643678160911</v>
      </c>
      <c r="L109" s="0" t="str">
        <f aca="false">IF(AND(J109&gt;=0.05,K109&gt;0),"예","")</f>
        <v/>
      </c>
      <c r="M109" s="4" t="n">
        <v>0.137830019120958</v>
      </c>
      <c r="N109" s="5" t="s">
        <v>460</v>
      </c>
      <c r="O109" s="8" t="s">
        <v>45</v>
      </c>
    </row>
    <row r="110" customFormat="false" ht="15" hidden="false" customHeight="false" outlineLevel="0" collapsed="false">
      <c r="A110" s="0" t="s">
        <v>461</v>
      </c>
      <c r="B110" s="0" t="s">
        <v>462</v>
      </c>
      <c r="C110" s="0" t="s">
        <v>267</v>
      </c>
      <c r="D110" s="0" t="s">
        <v>56</v>
      </c>
      <c r="E110" s="3" t="n">
        <v>2571</v>
      </c>
      <c r="F110" s="3" t="n">
        <v>2611</v>
      </c>
      <c r="G110" s="3" t="n">
        <v>2591</v>
      </c>
      <c r="H110" s="3" t="n">
        <v>2625</v>
      </c>
      <c r="I110" s="9" t="s">
        <v>50</v>
      </c>
      <c r="J110" s="4" t="n">
        <f aca="false">H110/G110-1</f>
        <v>0.0131223465843304</v>
      </c>
      <c r="K110" s="4" t="n">
        <f aca="false">H110/F110-1</f>
        <v>0.00536193029490617</v>
      </c>
      <c r="L110" s="0" t="str">
        <f aca="false">IF(AND(J110&gt;=0.05,K110&gt;0),"예","")</f>
        <v/>
      </c>
      <c r="M110" s="4" t="n">
        <v>0.163563829787234</v>
      </c>
      <c r="N110" s="5" t="s">
        <v>463</v>
      </c>
      <c r="O110" s="8" t="s">
        <v>45</v>
      </c>
    </row>
    <row r="111" customFormat="false" ht="15" hidden="false" customHeight="false" outlineLevel="0" collapsed="false">
      <c r="A111" s="0" t="s">
        <v>464</v>
      </c>
      <c r="B111" s="0" t="s">
        <v>465</v>
      </c>
      <c r="C111" s="0" t="s">
        <v>39</v>
      </c>
      <c r="D111" s="0" t="s">
        <v>56</v>
      </c>
      <c r="E111" s="3" t="n">
        <v>260</v>
      </c>
      <c r="F111" s="3" t="n">
        <v>290</v>
      </c>
      <c r="G111" s="3" t="n">
        <v>275</v>
      </c>
      <c r="H111" s="3" t="n">
        <v>278.58</v>
      </c>
      <c r="I111" s="9" t="s">
        <v>50</v>
      </c>
      <c r="J111" s="4" t="n">
        <f aca="false">H111/G111-1</f>
        <v>0.0130181818181818</v>
      </c>
      <c r="K111" s="4" t="n">
        <f aca="false">H111/F111-1</f>
        <v>-0.0393793103448277</v>
      </c>
      <c r="L111" s="0" t="str">
        <f aca="false">IF(AND(J111&gt;=0.05,K111&gt;0),"예","")</f>
        <v/>
      </c>
      <c r="M111" s="4" t="n">
        <v>0.111115542774638</v>
      </c>
      <c r="N111" s="5" t="s">
        <v>466</v>
      </c>
      <c r="O111" s="8" t="s">
        <v>45</v>
      </c>
    </row>
    <row r="112" customFormat="false" ht="15" hidden="false" customHeight="false" outlineLevel="0" collapsed="false">
      <c r="A112" s="0" t="s">
        <v>467</v>
      </c>
      <c r="B112" s="0" t="s">
        <v>468</v>
      </c>
      <c r="C112" s="0" t="s">
        <v>39</v>
      </c>
      <c r="D112" s="0" t="s">
        <v>56</v>
      </c>
      <c r="E112" s="3" t="n">
        <v>1535</v>
      </c>
      <c r="F112" s="3" t="n">
        <v>1635</v>
      </c>
      <c r="G112" s="3" t="n">
        <v>1585</v>
      </c>
      <c r="H112" s="3" t="n">
        <v>1603.5</v>
      </c>
      <c r="I112" s="9" t="s">
        <v>50</v>
      </c>
      <c r="J112" s="4" t="n">
        <f aca="false">H112/G112-1</f>
        <v>0.0116719242902208</v>
      </c>
      <c r="K112" s="4" t="n">
        <f aca="false">H112/F112-1</f>
        <v>-0.0192660550458715</v>
      </c>
      <c r="L112" s="0" t="str">
        <f aca="false">IF(AND(J112&gt;=0.05,K112&gt;0),"예","")</f>
        <v/>
      </c>
      <c r="M112" s="4" t="n">
        <v>0.0917818478926942</v>
      </c>
      <c r="N112" s="5" t="s">
        <v>469</v>
      </c>
      <c r="O112" s="8" t="s">
        <v>45</v>
      </c>
    </row>
    <row r="113" customFormat="false" ht="15" hidden="false" customHeight="false" outlineLevel="0" collapsed="false">
      <c r="A113" s="0" t="s">
        <v>470</v>
      </c>
      <c r="B113" s="0" t="s">
        <v>471</v>
      </c>
      <c r="C113" s="0" t="s">
        <v>54</v>
      </c>
      <c r="D113" s="0" t="s">
        <v>56</v>
      </c>
      <c r="E113" s="3" t="n">
        <v>914</v>
      </c>
      <c r="F113" s="3" t="n">
        <v>914</v>
      </c>
      <c r="G113" s="3" t="n">
        <v>914</v>
      </c>
      <c r="H113" s="3" t="n">
        <v>924.008</v>
      </c>
      <c r="I113" s="9" t="s">
        <v>123</v>
      </c>
      <c r="J113" s="4" t="n">
        <f aca="false">H113/G113-1</f>
        <v>0.0109496717724289</v>
      </c>
      <c r="K113" s="4" t="n">
        <f aca="false">H113/F113-1</f>
        <v>0.0109496717724289</v>
      </c>
      <c r="L113" s="0" t="str">
        <f aca="false">IF(AND(J113&gt;=0.05,K113&gt;0),"예","")</f>
        <v/>
      </c>
      <c r="M113" s="4" t="n">
        <v>0.0541105391888439</v>
      </c>
      <c r="N113" s="5" t="s">
        <v>472</v>
      </c>
      <c r="O113" s="8" t="s">
        <v>45</v>
      </c>
    </row>
    <row r="114" customFormat="false" ht="15" hidden="false" customHeight="false" outlineLevel="0" collapsed="false">
      <c r="A114" s="0" t="s">
        <v>473</v>
      </c>
      <c r="B114" s="0" t="s">
        <v>474</v>
      </c>
      <c r="C114" s="0" t="s">
        <v>180</v>
      </c>
      <c r="D114" s="0" t="s">
        <v>56</v>
      </c>
      <c r="E114" s="3" t="n">
        <v>3540</v>
      </c>
      <c r="F114" s="3" t="n">
        <v>3600</v>
      </c>
      <c r="G114" s="3" t="n">
        <v>3570</v>
      </c>
      <c r="H114" s="3" t="n">
        <v>3608</v>
      </c>
      <c r="I114" s="9" t="s">
        <v>50</v>
      </c>
      <c r="J114" s="4" t="n">
        <f aca="false">H114/G114-1</f>
        <v>0.0106442577030812</v>
      </c>
      <c r="K114" s="4" t="n">
        <f aca="false">H114/F114-1</f>
        <v>0.00222222222222213</v>
      </c>
      <c r="L114" s="0" t="str">
        <f aca="false">IF(AND(J114&gt;=0.05,K114&gt;0),"예","")</f>
        <v/>
      </c>
      <c r="M114" s="4" t="n">
        <v>0.165374677002584</v>
      </c>
      <c r="N114" s="5" t="s">
        <v>475</v>
      </c>
      <c r="O114" s="8" t="s">
        <v>45</v>
      </c>
    </row>
    <row r="115" customFormat="false" ht="15" hidden="false" customHeight="false" outlineLevel="0" collapsed="false">
      <c r="A115" s="0" t="s">
        <v>476</v>
      </c>
      <c r="B115" s="0" t="s">
        <v>477</v>
      </c>
      <c r="C115" s="0" t="s">
        <v>39</v>
      </c>
      <c r="D115" s="0" t="s">
        <v>56</v>
      </c>
      <c r="E115" s="3" t="n">
        <v>900</v>
      </c>
      <c r="F115" s="3" t="n">
        <v>950</v>
      </c>
      <c r="G115" s="3" t="n">
        <v>925</v>
      </c>
      <c r="H115" s="3" t="n">
        <v>934.8</v>
      </c>
      <c r="I115" s="9" t="s">
        <v>50</v>
      </c>
      <c r="J115" s="4" t="n">
        <f aca="false">H115/G115-1</f>
        <v>0.0105945945945944</v>
      </c>
      <c r="K115" s="4" t="n">
        <f aca="false">H115/F115-1</f>
        <v>-0.016</v>
      </c>
      <c r="L115" s="0" t="str">
        <f aca="false">IF(AND(J115&gt;=0.05,K115&gt;0),"예","")</f>
        <v/>
      </c>
      <c r="M115" s="4" t="n">
        <v>-0.0312953367875648</v>
      </c>
      <c r="N115" s="5" t="s">
        <v>478</v>
      </c>
      <c r="O115" s="8" t="s">
        <v>45</v>
      </c>
    </row>
    <row r="116" customFormat="false" ht="15" hidden="false" customHeight="false" outlineLevel="0" collapsed="false">
      <c r="A116" s="0" t="s">
        <v>479</v>
      </c>
      <c r="B116" s="0" t="s">
        <v>480</v>
      </c>
      <c r="C116" s="0" t="s">
        <v>54</v>
      </c>
      <c r="D116" s="0" t="s">
        <v>56</v>
      </c>
      <c r="E116" s="3" t="n">
        <v>1800</v>
      </c>
      <c r="F116" s="3" t="n">
        <v>1800</v>
      </c>
      <c r="G116" s="3" t="n">
        <v>1800</v>
      </c>
      <c r="H116" s="3" t="n">
        <v>1819</v>
      </c>
      <c r="I116" s="9" t="s">
        <v>123</v>
      </c>
      <c r="J116" s="4" t="n">
        <f aca="false">H116/G116-1</f>
        <v>0.0105555555555557</v>
      </c>
      <c r="K116" s="4" t="n">
        <f aca="false">H116/F116-1</f>
        <v>0.0105555555555557</v>
      </c>
      <c r="L116" s="0" t="str">
        <f aca="false">IF(AND(J116&gt;=0.05,K116&gt;0),"예","")</f>
        <v/>
      </c>
      <c r="M116" s="4" t="n">
        <v>0.0400228702115495</v>
      </c>
      <c r="N116" s="5" t="s">
        <v>481</v>
      </c>
      <c r="O116" s="8" t="s">
        <v>45</v>
      </c>
    </row>
    <row r="117" customFormat="false" ht="15" hidden="false" customHeight="false" outlineLevel="0" collapsed="false">
      <c r="A117" s="0" t="s">
        <v>482</v>
      </c>
      <c r="B117" s="0" t="s">
        <v>483</v>
      </c>
      <c r="C117" s="0" t="s">
        <v>39</v>
      </c>
      <c r="D117" s="0" t="s">
        <v>56</v>
      </c>
      <c r="E117" s="3" t="n">
        <v>547</v>
      </c>
      <c r="F117" s="3" t="n">
        <v>551</v>
      </c>
      <c r="G117" s="3" t="n">
        <v>549</v>
      </c>
      <c r="H117" s="3" t="n">
        <v>554.548</v>
      </c>
      <c r="I117" s="9" t="s">
        <v>50</v>
      </c>
      <c r="J117" s="4" t="n">
        <f aca="false">H117/G117-1</f>
        <v>0.0101056466302367</v>
      </c>
      <c r="K117" s="4" t="n">
        <f aca="false">H117/F117-1</f>
        <v>0.00643920145190569</v>
      </c>
      <c r="L117" s="0" t="str">
        <f aca="false">IF(AND(J117&gt;=0.05,K117&gt;0),"예","")</f>
        <v/>
      </c>
      <c r="M117" s="4" t="n">
        <v>0.161724440608444</v>
      </c>
      <c r="N117" s="5" t="s">
        <v>484</v>
      </c>
      <c r="O117" s="8" t="s">
        <v>45</v>
      </c>
    </row>
    <row r="118" customFormat="false" ht="15" hidden="false" customHeight="false" outlineLevel="0" collapsed="false">
      <c r="A118" s="0" t="s">
        <v>485</v>
      </c>
      <c r="B118" s="0" t="s">
        <v>486</v>
      </c>
      <c r="C118" s="0" t="s">
        <v>39</v>
      </c>
      <c r="D118" s="0" t="s">
        <v>89</v>
      </c>
      <c r="E118" s="3" t="n">
        <v>865</v>
      </c>
      <c r="F118" s="3" t="n">
        <v>869</v>
      </c>
      <c r="G118" s="3" t="n">
        <v>867</v>
      </c>
      <c r="H118" s="3" t="n">
        <v>875.746</v>
      </c>
      <c r="I118" s="9" t="s">
        <v>50</v>
      </c>
      <c r="J118" s="4" t="n">
        <f aca="false">H118/G118-1</f>
        <v>0.0100876585928489</v>
      </c>
      <c r="K118" s="4" t="n">
        <f aca="false">H118/F118-1</f>
        <v>0.00776294591484472</v>
      </c>
      <c r="L118" s="0" t="str">
        <f aca="false">IF(AND(J118&gt;=0.05,K118&gt;0),"예","")</f>
        <v/>
      </c>
      <c r="M118" s="4" t="n">
        <v>0.09381291872961</v>
      </c>
      <c r="N118" s="5" t="s">
        <v>487</v>
      </c>
      <c r="O118" s="8" t="s">
        <v>45</v>
      </c>
    </row>
    <row r="119" customFormat="false" ht="15" hidden="false" customHeight="false" outlineLevel="0" collapsed="false">
      <c r="A119" s="0" t="s">
        <v>488</v>
      </c>
      <c r="B119" s="0" t="s">
        <v>489</v>
      </c>
      <c r="C119" s="0" t="s">
        <v>39</v>
      </c>
      <c r="D119" s="0" t="s">
        <v>56</v>
      </c>
      <c r="E119" s="3" t="n">
        <v>648</v>
      </c>
      <c r="F119" s="3" t="n">
        <v>653</v>
      </c>
      <c r="G119" s="3" t="n">
        <v>650.5</v>
      </c>
      <c r="H119" s="3" t="n">
        <v>657.011</v>
      </c>
      <c r="I119" s="9" t="s">
        <v>50</v>
      </c>
      <c r="J119" s="4" t="n">
        <f aca="false">H119/G119-1</f>
        <v>0.0100092236740967</v>
      </c>
      <c r="K119" s="4" t="n">
        <f aca="false">H119/F119-1</f>
        <v>0.00614241960183759</v>
      </c>
      <c r="L119" s="0" t="str">
        <f aca="false">IF(AND(J119&gt;=0.05,K119&gt;0),"예","")</f>
        <v/>
      </c>
      <c r="M119" s="4" t="n">
        <v>0.0590153417644803</v>
      </c>
      <c r="N119" s="5" t="s">
        <v>490</v>
      </c>
      <c r="O119" s="8" t="s">
        <v>45</v>
      </c>
    </row>
    <row r="120" customFormat="false" ht="15" hidden="false" customHeight="false" outlineLevel="0" collapsed="false">
      <c r="A120" s="0" t="s">
        <v>491</v>
      </c>
      <c r="B120" s="0" t="s">
        <v>492</v>
      </c>
      <c r="C120" s="0" t="s">
        <v>39</v>
      </c>
      <c r="D120" s="0" t="s">
        <v>493</v>
      </c>
      <c r="E120" s="3" t="n">
        <v>6670</v>
      </c>
      <c r="F120" s="3" t="n">
        <v>6720</v>
      </c>
      <c r="G120" s="3" t="n">
        <v>6695</v>
      </c>
      <c r="H120" s="3" t="n">
        <v>6760</v>
      </c>
      <c r="I120" s="9" t="s">
        <v>50</v>
      </c>
      <c r="J120" s="4" t="n">
        <f aca="false">H120/G120-1</f>
        <v>0.00970873786407767</v>
      </c>
      <c r="K120" s="4" t="n">
        <f aca="false">H120/F120-1</f>
        <v>0.00595238095238093</v>
      </c>
      <c r="L120" s="0" t="str">
        <f aca="false">IF(AND(J120&gt;=0.05,K120&gt;0),"예","")</f>
        <v/>
      </c>
      <c r="M120" s="4" t="n">
        <v>0.128924515698063</v>
      </c>
      <c r="N120" s="5" t="s">
        <v>494</v>
      </c>
      <c r="O120" s="8" t="s">
        <v>45</v>
      </c>
    </row>
    <row r="121" customFormat="false" ht="15" hidden="false" customHeight="false" outlineLevel="0" collapsed="false">
      <c r="A121" s="0" t="s">
        <v>495</v>
      </c>
      <c r="B121" s="0" t="s">
        <v>496</v>
      </c>
      <c r="C121" s="0" t="s">
        <v>260</v>
      </c>
      <c r="D121" s="0" t="s">
        <v>89</v>
      </c>
      <c r="E121" s="3" t="n">
        <v>4800</v>
      </c>
      <c r="F121" s="3" t="n">
        <v>4900</v>
      </c>
      <c r="G121" s="3" t="n">
        <v>4850</v>
      </c>
      <c r="H121" s="3" t="n">
        <v>4891.2</v>
      </c>
      <c r="I121" s="9" t="s">
        <v>50</v>
      </c>
      <c r="J121" s="4" t="n">
        <f aca="false">H121/G121-1</f>
        <v>0.00849484536082468</v>
      </c>
      <c r="K121" s="4" t="n">
        <f aca="false">H121/F121-1</f>
        <v>-0.00179591836734694</v>
      </c>
      <c r="L121" s="0" t="str">
        <f aca="false">IF(AND(J121&gt;=0.05,K121&gt;0),"예","")</f>
        <v/>
      </c>
      <c r="M121" s="4" t="n">
        <v>0.0701907929284089</v>
      </c>
      <c r="N121" s="5" t="s">
        <v>497</v>
      </c>
      <c r="O121" s="8" t="s">
        <v>45</v>
      </c>
    </row>
    <row r="122" customFormat="false" ht="15" hidden="false" customHeight="false" outlineLevel="0" collapsed="false">
      <c r="A122" s="0" t="s">
        <v>498</v>
      </c>
      <c r="B122" s="0" t="s">
        <v>499</v>
      </c>
      <c r="C122" s="0" t="s">
        <v>39</v>
      </c>
      <c r="D122" s="0" t="s">
        <v>89</v>
      </c>
      <c r="E122" s="3" t="n">
        <v>1265</v>
      </c>
      <c r="F122" s="3" t="n">
        <v>1270</v>
      </c>
      <c r="G122" s="3" t="n">
        <v>1267.5</v>
      </c>
      <c r="H122" s="3" t="n">
        <v>1277.217</v>
      </c>
      <c r="I122" s="9" t="s">
        <v>50</v>
      </c>
      <c r="J122" s="4" t="n">
        <f aca="false">H122/G122-1</f>
        <v>0.00766627218934923</v>
      </c>
      <c r="K122" s="4" t="n">
        <f aca="false">H122/F122-1</f>
        <v>0.00568267716535442</v>
      </c>
      <c r="L122" s="0" t="str">
        <f aca="false">IF(AND(J122&gt;=0.05,K122&gt;0),"예","")</f>
        <v/>
      </c>
      <c r="M122" s="4" t="n">
        <v>0.0492841516003177</v>
      </c>
      <c r="N122" s="5" t="s">
        <v>500</v>
      </c>
      <c r="O122" s="8" t="s">
        <v>45</v>
      </c>
    </row>
    <row r="123" customFormat="false" ht="15" hidden="false" customHeight="false" outlineLevel="0" collapsed="false">
      <c r="A123" s="0" t="s">
        <v>501</v>
      </c>
      <c r="B123" s="0" t="s">
        <v>502</v>
      </c>
      <c r="C123" s="0" t="s">
        <v>39</v>
      </c>
      <c r="D123" s="0" t="s">
        <v>89</v>
      </c>
      <c r="E123" s="3" t="n">
        <v>289</v>
      </c>
      <c r="F123" s="3" t="n">
        <v>291</v>
      </c>
      <c r="G123" s="3" t="n">
        <v>290</v>
      </c>
      <c r="H123" s="3" t="n">
        <v>291.981</v>
      </c>
      <c r="I123" s="9" t="s">
        <v>50</v>
      </c>
      <c r="J123" s="4" t="n">
        <f aca="false">H123/G123-1</f>
        <v>0.00683103448275868</v>
      </c>
      <c r="K123" s="4" t="n">
        <f aca="false">H123/F123-1</f>
        <v>0.00337113402061862</v>
      </c>
      <c r="L123" s="0" t="str">
        <f aca="false">IF(AND(J123&gt;=0.05,K123&gt;0),"예","")</f>
        <v/>
      </c>
      <c r="M123" s="4" t="n">
        <v>0.205621368964791</v>
      </c>
      <c r="N123" s="5" t="s">
        <v>503</v>
      </c>
      <c r="O123" s="8" t="s">
        <v>45</v>
      </c>
    </row>
    <row r="124" customFormat="false" ht="15" hidden="false" customHeight="false" outlineLevel="0" collapsed="false">
      <c r="A124" s="0" t="s">
        <v>504</v>
      </c>
      <c r="B124" s="0" t="s">
        <v>505</v>
      </c>
      <c r="C124" s="0" t="s">
        <v>54</v>
      </c>
      <c r="D124" s="0" t="s">
        <v>56</v>
      </c>
      <c r="E124" s="3" t="n">
        <v>225</v>
      </c>
      <c r="F124" s="3" t="n">
        <v>240</v>
      </c>
      <c r="G124" s="3" t="n">
        <v>232.5</v>
      </c>
      <c r="H124" s="3" t="n">
        <v>234.066</v>
      </c>
      <c r="I124" s="9" t="s">
        <v>50</v>
      </c>
      <c r="J124" s="4" t="n">
        <f aca="false">H124/G124-1</f>
        <v>0.00673548387096767</v>
      </c>
      <c r="K124" s="4" t="n">
        <f aca="false">H124/F124-1</f>
        <v>-0.024725</v>
      </c>
      <c r="L124" s="0" t="str">
        <f aca="false">IF(AND(J124&gt;=0.05,K124&gt;0),"예","")</f>
        <v/>
      </c>
      <c r="M124" s="4" t="n">
        <v>0.619856330191421</v>
      </c>
      <c r="N124" s="5" t="s">
        <v>506</v>
      </c>
      <c r="O124" s="8" t="s">
        <v>45</v>
      </c>
    </row>
    <row r="125" customFormat="false" ht="15" hidden="false" customHeight="false" outlineLevel="0" collapsed="false">
      <c r="A125" s="0" t="s">
        <v>507</v>
      </c>
      <c r="B125" s="0" t="s">
        <v>508</v>
      </c>
      <c r="C125" s="0" t="s">
        <v>39</v>
      </c>
      <c r="D125" s="0" t="s">
        <v>89</v>
      </c>
      <c r="E125" s="3" t="n">
        <v>29400</v>
      </c>
      <c r="F125" s="3" t="n">
        <v>29400</v>
      </c>
      <c r="G125" s="3" t="n">
        <v>29400</v>
      </c>
      <c r="H125" s="3" t="n">
        <v>29591</v>
      </c>
      <c r="I125" s="9" t="s">
        <v>123</v>
      </c>
      <c r="J125" s="4" t="n">
        <f aca="false">H125/G125-1</f>
        <v>0.00649659863945584</v>
      </c>
      <c r="K125" s="4" t="n">
        <f aca="false">H125/F125-1</f>
        <v>0.00649659863945584</v>
      </c>
      <c r="L125" s="0" t="str">
        <f aca="false">IF(AND(J125&gt;=0.05,K125&gt;0),"예","")</f>
        <v/>
      </c>
      <c r="M125" s="4" t="n">
        <v>0.855002507522568</v>
      </c>
      <c r="N125" s="5" t="s">
        <v>509</v>
      </c>
      <c r="O125" s="8" t="s">
        <v>45</v>
      </c>
    </row>
    <row r="126" customFormat="false" ht="15" hidden="false" customHeight="false" outlineLevel="0" collapsed="false">
      <c r="A126" s="0" t="s">
        <v>510</v>
      </c>
      <c r="B126" s="0" t="s">
        <v>511</v>
      </c>
      <c r="C126" s="0" t="s">
        <v>260</v>
      </c>
      <c r="D126" s="0" t="s">
        <v>56</v>
      </c>
      <c r="E126" s="3" t="n">
        <v>938</v>
      </c>
      <c r="F126" s="3" t="n">
        <v>938</v>
      </c>
      <c r="G126" s="3" t="n">
        <v>938</v>
      </c>
      <c r="H126" s="3" t="n">
        <v>944</v>
      </c>
      <c r="I126" s="9" t="s">
        <v>123</v>
      </c>
      <c r="J126" s="4" t="n">
        <f aca="false">H126/G126-1</f>
        <v>0.00639658848614078</v>
      </c>
      <c r="K126" s="4" t="n">
        <f aca="false">H126/F126-1</f>
        <v>0.00639658848614078</v>
      </c>
      <c r="L126" s="0" t="str">
        <f aca="false">IF(AND(J126&gt;=0.05,K126&gt;0),"예","")</f>
        <v/>
      </c>
      <c r="M126" s="4" t="n">
        <v>0.00639658848614078</v>
      </c>
      <c r="N126" s="5" t="s">
        <v>512</v>
      </c>
      <c r="O126" s="8" t="s">
        <v>45</v>
      </c>
    </row>
    <row r="127" customFormat="false" ht="15" hidden="false" customHeight="false" outlineLevel="0" collapsed="false">
      <c r="A127" s="0" t="s">
        <v>513</v>
      </c>
      <c r="B127" s="0" t="s">
        <v>514</v>
      </c>
      <c r="C127" s="0" t="s">
        <v>39</v>
      </c>
      <c r="D127" s="0" t="s">
        <v>56</v>
      </c>
      <c r="E127" s="3" t="n">
        <v>1555</v>
      </c>
      <c r="F127" s="3" t="n">
        <v>1595</v>
      </c>
      <c r="G127" s="3" t="n">
        <v>1575</v>
      </c>
      <c r="H127" s="3" t="n">
        <v>1584.451</v>
      </c>
      <c r="I127" s="9" t="s">
        <v>50</v>
      </c>
      <c r="J127" s="4" t="n">
        <f aca="false">H127/G127-1</f>
        <v>0.00600063492063496</v>
      </c>
      <c r="K127" s="4" t="n">
        <f aca="false">H127/F127-1</f>
        <v>-0.00661379310344823</v>
      </c>
      <c r="L127" s="0" t="str">
        <f aca="false">IF(AND(J127&gt;=0.05,K127&gt;0),"예","")</f>
        <v/>
      </c>
      <c r="M127" s="4" t="n">
        <v>0.242276984980097</v>
      </c>
      <c r="N127" s="5" t="s">
        <v>515</v>
      </c>
      <c r="O127" s="8" t="s">
        <v>45</v>
      </c>
    </row>
    <row r="128" customFormat="false" ht="15" hidden="false" customHeight="false" outlineLevel="0" collapsed="false">
      <c r="A128" s="0" t="s">
        <v>516</v>
      </c>
      <c r="B128" s="0" t="s">
        <v>517</v>
      </c>
      <c r="C128" s="0" t="s">
        <v>263</v>
      </c>
      <c r="D128" s="0" t="s">
        <v>56</v>
      </c>
      <c r="E128" s="3" t="n">
        <v>1040</v>
      </c>
      <c r="F128" s="3" t="n">
        <v>1060</v>
      </c>
      <c r="G128" s="3" t="n">
        <v>1050</v>
      </c>
      <c r="H128" s="3" t="n">
        <v>1056.192</v>
      </c>
      <c r="I128" s="9" t="s">
        <v>50</v>
      </c>
      <c r="J128" s="4" t="n">
        <f aca="false">H128/G128-1</f>
        <v>0.00589714285714282</v>
      </c>
      <c r="K128" s="4" t="n">
        <f aca="false">H128/F128-1</f>
        <v>-0.00359245283018872</v>
      </c>
      <c r="L128" s="0" t="str">
        <f aca="false">IF(AND(J128&gt;=0.05,K128&gt;0),"예","")</f>
        <v/>
      </c>
      <c r="M128" s="4" t="n">
        <v>0.0432051392218276</v>
      </c>
      <c r="N128" s="5" t="s">
        <v>518</v>
      </c>
      <c r="O128" s="8" t="s">
        <v>45</v>
      </c>
    </row>
    <row r="129" customFormat="false" ht="15" hidden="false" customHeight="false" outlineLevel="0" collapsed="false">
      <c r="A129" s="0" t="s">
        <v>519</v>
      </c>
      <c r="B129" s="0" t="s">
        <v>520</v>
      </c>
      <c r="C129" s="0" t="s">
        <v>39</v>
      </c>
      <c r="D129" s="0" t="s">
        <v>56</v>
      </c>
      <c r="E129" s="3" t="n">
        <v>1400</v>
      </c>
      <c r="F129" s="3" t="n">
        <v>1415</v>
      </c>
      <c r="G129" s="3" t="n">
        <v>1407.5</v>
      </c>
      <c r="H129" s="3" t="n">
        <v>1414.767</v>
      </c>
      <c r="I129" s="9" t="s">
        <v>50</v>
      </c>
      <c r="J129" s="4" t="n">
        <f aca="false">H129/G129-1</f>
        <v>0.00516305506216708</v>
      </c>
      <c r="K129" s="4" t="n">
        <f aca="false">H129/F129-1</f>
        <v>-0.000164664310954077</v>
      </c>
      <c r="L129" s="0" t="str">
        <f aca="false">IF(AND(J129&gt;=0.05,K129&gt;0),"예","")</f>
        <v/>
      </c>
      <c r="M129" s="4" t="n">
        <v>0.045309628850273</v>
      </c>
      <c r="N129" s="5" t="s">
        <v>521</v>
      </c>
      <c r="O129" s="8" t="s">
        <v>45</v>
      </c>
    </row>
    <row r="130" customFormat="false" ht="15" hidden="false" customHeight="false" outlineLevel="0" collapsed="false">
      <c r="A130" s="0" t="s">
        <v>522</v>
      </c>
      <c r="B130" s="0" t="s">
        <v>523</v>
      </c>
      <c r="C130" s="0" t="s">
        <v>261</v>
      </c>
      <c r="D130" s="0" t="s">
        <v>56</v>
      </c>
      <c r="E130" s="3" t="n">
        <v>1750</v>
      </c>
      <c r="F130" s="3" t="n">
        <v>1950</v>
      </c>
      <c r="G130" s="3" t="n">
        <v>1850</v>
      </c>
      <c r="H130" s="3" t="n">
        <v>1858.035</v>
      </c>
      <c r="I130" s="9" t="s">
        <v>50</v>
      </c>
      <c r="J130" s="4" t="n">
        <f aca="false">H130/G130-1</f>
        <v>0.00434324324324331</v>
      </c>
      <c r="K130" s="4" t="n">
        <f aca="false">H130/F130-1</f>
        <v>-0.0471615384615384</v>
      </c>
      <c r="L130" s="0" t="str">
        <f aca="false">IF(AND(J130&gt;=0.05,K130&gt;0),"예","")</f>
        <v/>
      </c>
      <c r="M130" s="4" t="n">
        <v>0.551470612794298</v>
      </c>
      <c r="N130" s="5" t="s">
        <v>524</v>
      </c>
      <c r="O130" s="8" t="s">
        <v>45</v>
      </c>
    </row>
    <row r="131" customFormat="false" ht="15" hidden="false" customHeight="false" outlineLevel="0" collapsed="false">
      <c r="A131" s="0" t="s">
        <v>525</v>
      </c>
      <c r="B131" s="0" t="s">
        <v>526</v>
      </c>
      <c r="C131" s="0" t="s">
        <v>39</v>
      </c>
      <c r="D131" s="0" t="s">
        <v>89</v>
      </c>
      <c r="E131" s="3" t="n">
        <v>11270</v>
      </c>
      <c r="F131" s="3" t="n">
        <v>11350</v>
      </c>
      <c r="G131" s="3" t="n">
        <v>11310</v>
      </c>
      <c r="H131" s="3" t="n">
        <v>11345</v>
      </c>
      <c r="I131" s="9" t="s">
        <v>50</v>
      </c>
      <c r="J131" s="4" t="n">
        <f aca="false">H131/G131-1</f>
        <v>0.00309460654288229</v>
      </c>
      <c r="K131" s="4" t="n">
        <f aca="false">H131/F131-1</f>
        <v>-0.000440528634361281</v>
      </c>
      <c r="L131" s="0" t="str">
        <f aca="false">IF(AND(J131&gt;=0.05,K131&gt;0),"예","")</f>
        <v/>
      </c>
      <c r="M131" s="4" t="n">
        <v>0.108343102774521</v>
      </c>
      <c r="N131" s="5" t="s">
        <v>527</v>
      </c>
      <c r="O131" s="8" t="s">
        <v>45</v>
      </c>
    </row>
    <row r="132" customFormat="false" ht="15" hidden="false" customHeight="false" outlineLevel="0" collapsed="false">
      <c r="A132" s="0" t="s">
        <v>528</v>
      </c>
      <c r="B132" s="0" t="s">
        <v>529</v>
      </c>
      <c r="C132" s="0" t="s">
        <v>39</v>
      </c>
      <c r="D132" s="0" t="s">
        <v>56</v>
      </c>
      <c r="E132" s="3" t="n">
        <v>1285</v>
      </c>
      <c r="F132" s="3" t="n">
        <v>1305</v>
      </c>
      <c r="G132" s="3" t="n">
        <v>1295</v>
      </c>
      <c r="H132" s="3" t="n">
        <v>1298</v>
      </c>
      <c r="I132" s="9" t="s">
        <v>50</v>
      </c>
      <c r="J132" s="4" t="n">
        <f aca="false">H132/G132-1</f>
        <v>0.00231660231660236</v>
      </c>
      <c r="K132" s="4" t="n">
        <f aca="false">H132/F132-1</f>
        <v>-0.00536398467432953</v>
      </c>
      <c r="L132" s="0" t="str">
        <f aca="false">IF(AND(J132&gt;=0.05,K132&gt;0),"예","")</f>
        <v/>
      </c>
      <c r="M132" s="4" t="n">
        <v>0.0660315374507228</v>
      </c>
      <c r="N132" s="5" t="s">
        <v>530</v>
      </c>
      <c r="O132" s="8" t="s">
        <v>45</v>
      </c>
    </row>
    <row r="133" customFormat="false" ht="15" hidden="false" customHeight="false" outlineLevel="0" collapsed="false">
      <c r="A133" s="0" t="s">
        <v>531</v>
      </c>
      <c r="B133" s="0" t="s">
        <v>532</v>
      </c>
      <c r="C133" s="0" t="s">
        <v>39</v>
      </c>
      <c r="D133" s="0" t="s">
        <v>41</v>
      </c>
      <c r="E133" s="3" t="n">
        <v>18350</v>
      </c>
      <c r="F133" s="3" t="n">
        <v>19000</v>
      </c>
      <c r="G133" s="3" t="n">
        <v>18675</v>
      </c>
      <c r="H133" s="3" t="n">
        <v>18718.144</v>
      </c>
      <c r="I133" s="9" t="s">
        <v>50</v>
      </c>
      <c r="J133" s="4" t="n">
        <f aca="false">H133/G133-1</f>
        <v>0.00231025435073629</v>
      </c>
      <c r="K133" s="4" t="n">
        <f aca="false">H133/F133-1</f>
        <v>-0.0148345263157894</v>
      </c>
      <c r="L133" s="0" t="str">
        <f aca="false">IF(AND(J133&gt;=0.05,K133&gt;0),"예","")</f>
        <v/>
      </c>
      <c r="M133" s="4" t="n">
        <v>0.0558596686539516</v>
      </c>
      <c r="N133" s="5" t="s">
        <v>533</v>
      </c>
      <c r="O133" s="8" t="s">
        <v>45</v>
      </c>
    </row>
    <row r="134" customFormat="false" ht="15" hidden="false" customHeight="false" outlineLevel="0" collapsed="false">
      <c r="A134" s="0" t="s">
        <v>534</v>
      </c>
      <c r="B134" s="0" t="s">
        <v>535</v>
      </c>
      <c r="C134" s="0" t="s">
        <v>39</v>
      </c>
      <c r="D134" s="0" t="s">
        <v>56</v>
      </c>
      <c r="E134" s="3" t="n">
        <v>430</v>
      </c>
      <c r="F134" s="3" t="n">
        <v>490</v>
      </c>
      <c r="G134" s="3" t="n">
        <v>460</v>
      </c>
      <c r="H134" s="3" t="n">
        <v>459.723</v>
      </c>
      <c r="I134" s="9" t="s">
        <v>50</v>
      </c>
      <c r="J134" s="4" t="n">
        <f aca="false">H134/G134-1</f>
        <v>-0.000602173913043402</v>
      </c>
      <c r="K134" s="4" t="n">
        <f aca="false">H134/F134-1</f>
        <v>-0.0617897959183673</v>
      </c>
      <c r="L134" s="0" t="str">
        <f aca="false">IF(AND(J134&gt;=0.05,K134&gt;0),"예","")</f>
        <v/>
      </c>
      <c r="M134" s="4" t="n">
        <v>0.128786167475299</v>
      </c>
      <c r="N134" s="5" t="s">
        <v>536</v>
      </c>
      <c r="O134" s="8" t="s">
        <v>45</v>
      </c>
    </row>
    <row r="135" customFormat="false" ht="15" hidden="false" customHeight="false" outlineLevel="0" collapsed="false">
      <c r="A135" s="0" t="s">
        <v>537</v>
      </c>
      <c r="B135" s="0" t="s">
        <v>538</v>
      </c>
      <c r="C135" s="0" t="s">
        <v>39</v>
      </c>
      <c r="D135" s="0" t="s">
        <v>56</v>
      </c>
      <c r="E135" s="3" t="n">
        <v>5450</v>
      </c>
      <c r="F135" s="3" t="n">
        <v>5520</v>
      </c>
      <c r="G135" s="3" t="n">
        <v>5485</v>
      </c>
      <c r="H135" s="3" t="n">
        <v>5481</v>
      </c>
      <c r="I135" s="9" t="s">
        <v>50</v>
      </c>
      <c r="J135" s="4" t="n">
        <f aca="false">H135/G135-1</f>
        <v>-0.000729261622607114</v>
      </c>
      <c r="K135" s="4" t="n">
        <f aca="false">H135/F135-1</f>
        <v>-0.00706521739130439</v>
      </c>
      <c r="L135" s="0" t="str">
        <f aca="false">IF(AND(J135&gt;=0.05,K135&gt;0),"예","")</f>
        <v/>
      </c>
      <c r="M135" s="4" t="n">
        <v>0.0449952335557673</v>
      </c>
      <c r="N135" s="5" t="s">
        <v>539</v>
      </c>
      <c r="O135" s="8" t="s">
        <v>45</v>
      </c>
    </row>
    <row r="136" customFormat="false" ht="15" hidden="false" customHeight="false" outlineLevel="0" collapsed="false">
      <c r="A136" s="0" t="s">
        <v>540</v>
      </c>
      <c r="B136" s="0" t="s">
        <v>541</v>
      </c>
      <c r="C136" s="0" t="s">
        <v>267</v>
      </c>
      <c r="D136" s="0" t="s">
        <v>56</v>
      </c>
      <c r="E136" s="3" t="n">
        <v>922</v>
      </c>
      <c r="F136" s="3" t="n">
        <v>932</v>
      </c>
      <c r="G136" s="3" t="n">
        <v>927</v>
      </c>
      <c r="H136" s="3" t="n">
        <v>925</v>
      </c>
      <c r="I136" s="9" t="s">
        <v>50</v>
      </c>
      <c r="J136" s="4" t="n">
        <f aca="false">H136/G136-1</f>
        <v>-0.00215749730312842</v>
      </c>
      <c r="K136" s="4" t="n">
        <f aca="false">H136/F136-1</f>
        <v>-0.00751072961373389</v>
      </c>
      <c r="L136" s="0" t="str">
        <f aca="false">IF(AND(J136&gt;=0.05,K136&gt;0),"예","")</f>
        <v/>
      </c>
      <c r="M136" s="4" t="n">
        <v>0.18437900128041</v>
      </c>
      <c r="N136" s="5" t="s">
        <v>542</v>
      </c>
      <c r="O136" s="8" t="s">
        <v>45</v>
      </c>
    </row>
    <row r="137" customFormat="false" ht="15" hidden="false" customHeight="false" outlineLevel="0" collapsed="false">
      <c r="A137" s="0" t="s">
        <v>543</v>
      </c>
      <c r="B137" s="0" t="s">
        <v>544</v>
      </c>
      <c r="C137" s="0" t="s">
        <v>78</v>
      </c>
      <c r="D137" s="0" t="s">
        <v>56</v>
      </c>
      <c r="E137" s="3" t="n">
        <v>850</v>
      </c>
      <c r="F137" s="3" t="n">
        <v>860</v>
      </c>
      <c r="G137" s="3" t="n">
        <v>855</v>
      </c>
      <c r="H137" s="3" t="n">
        <v>853.105</v>
      </c>
      <c r="I137" s="9" t="s">
        <v>50</v>
      </c>
      <c r="J137" s="4" t="n">
        <f aca="false">H137/G137-1</f>
        <v>-0.00221637426900578</v>
      </c>
      <c r="K137" s="4" t="n">
        <f aca="false">H137/F137-1</f>
        <v>-0.00801744186046505</v>
      </c>
      <c r="L137" s="0" t="str">
        <f aca="false">IF(AND(J137&gt;=0.05,K137&gt;0),"예","")</f>
        <v/>
      </c>
      <c r="M137" s="4" t="n">
        <v>-0.0123104459917244</v>
      </c>
      <c r="N137" s="5" t="s">
        <v>545</v>
      </c>
      <c r="O137" s="8" t="s">
        <v>45</v>
      </c>
    </row>
    <row r="138" customFormat="false" ht="15" hidden="false" customHeight="false" outlineLevel="0" collapsed="false">
      <c r="A138" s="0" t="s">
        <v>546</v>
      </c>
      <c r="B138" s="0" t="s">
        <v>547</v>
      </c>
      <c r="C138" s="0" t="s">
        <v>262</v>
      </c>
      <c r="D138" s="0" t="s">
        <v>56</v>
      </c>
      <c r="E138" s="3" t="n">
        <v>3375</v>
      </c>
      <c r="F138" s="3" t="n">
        <v>3395</v>
      </c>
      <c r="G138" s="3" t="n">
        <v>3385</v>
      </c>
      <c r="H138" s="3" t="n">
        <v>3377</v>
      </c>
      <c r="I138" s="9" t="s">
        <v>50</v>
      </c>
      <c r="J138" s="4" t="n">
        <f aca="false">H138/G138-1</f>
        <v>-0.00236336779911372</v>
      </c>
      <c r="K138" s="4" t="n">
        <f aca="false">H138/F138-1</f>
        <v>-0.00530191458026508</v>
      </c>
      <c r="L138" s="0" t="str">
        <f aca="false">IF(AND(J138&gt;=0.05,K138&gt;0),"예","")</f>
        <v/>
      </c>
      <c r="M138" s="4" t="n">
        <v>0.290902140672783</v>
      </c>
      <c r="N138" s="5" t="s">
        <v>548</v>
      </c>
      <c r="O138" s="8" t="s">
        <v>45</v>
      </c>
    </row>
    <row r="139" customFormat="false" ht="15" hidden="false" customHeight="false" outlineLevel="0" collapsed="false">
      <c r="A139" s="0" t="s">
        <v>549</v>
      </c>
      <c r="B139" s="0" t="s">
        <v>550</v>
      </c>
      <c r="C139" s="0" t="s">
        <v>78</v>
      </c>
      <c r="D139" s="0" t="s">
        <v>56</v>
      </c>
      <c r="E139" s="3" t="n">
        <v>1915</v>
      </c>
      <c r="F139" s="3" t="n">
        <v>1945</v>
      </c>
      <c r="G139" s="3" t="n">
        <v>1930</v>
      </c>
      <c r="H139" s="3" t="n">
        <v>1923.686</v>
      </c>
      <c r="I139" s="9" t="s">
        <v>50</v>
      </c>
      <c r="J139" s="4" t="n">
        <f aca="false">H139/G139-1</f>
        <v>-0.00327150259067366</v>
      </c>
      <c r="K139" s="4" t="n">
        <f aca="false">H139/F139-1</f>
        <v>-0.0109583547557841</v>
      </c>
      <c r="L139" s="0" t="str">
        <f aca="false">IF(AND(J139&gt;=0.05,K139&gt;0),"예","")</f>
        <v/>
      </c>
      <c r="M139" s="4" t="n">
        <v>0.528246186308047</v>
      </c>
      <c r="N139" s="5" t="s">
        <v>551</v>
      </c>
      <c r="O139" s="8" t="s">
        <v>45</v>
      </c>
    </row>
    <row r="140" customFormat="false" ht="15" hidden="false" customHeight="false" outlineLevel="0" collapsed="false">
      <c r="A140" s="0" t="s">
        <v>552</v>
      </c>
      <c r="B140" s="0" t="s">
        <v>553</v>
      </c>
      <c r="C140" s="0" t="s">
        <v>39</v>
      </c>
      <c r="D140" s="0" t="s">
        <v>89</v>
      </c>
      <c r="E140" s="3" t="n">
        <v>308</v>
      </c>
      <c r="F140" s="3" t="n">
        <v>312</v>
      </c>
      <c r="G140" s="3" t="n">
        <v>310</v>
      </c>
      <c r="H140" s="3" t="n">
        <v>308.813</v>
      </c>
      <c r="I140" s="9" t="s">
        <v>50</v>
      </c>
      <c r="J140" s="4" t="n">
        <f aca="false">H140/G140-1</f>
        <v>-0.00382903225806452</v>
      </c>
      <c r="K140" s="4" t="n">
        <f aca="false">H140/F140-1</f>
        <v>-0.0102147435897436</v>
      </c>
      <c r="L140" s="0" t="str">
        <f aca="false">IF(AND(J140&gt;=0.05,K140&gt;0),"예","")</f>
        <v/>
      </c>
      <c r="M140" s="4" t="n">
        <v>0.168157694650078</v>
      </c>
      <c r="N140" s="5" t="s">
        <v>554</v>
      </c>
      <c r="O140" s="8" t="s">
        <v>45</v>
      </c>
    </row>
    <row r="141" customFormat="false" ht="15" hidden="false" customHeight="false" outlineLevel="0" collapsed="false">
      <c r="A141" s="0" t="s">
        <v>555</v>
      </c>
      <c r="B141" s="0" t="s">
        <v>556</v>
      </c>
      <c r="C141" s="0" t="s">
        <v>180</v>
      </c>
      <c r="D141" s="0" t="s">
        <v>56</v>
      </c>
      <c r="E141" s="3" t="n">
        <v>3200</v>
      </c>
      <c r="F141" s="3" t="n">
        <v>3400</v>
      </c>
      <c r="G141" s="3" t="n">
        <v>3300</v>
      </c>
      <c r="H141" s="3" t="n">
        <v>3274</v>
      </c>
      <c r="I141" s="9" t="s">
        <v>50</v>
      </c>
      <c r="J141" s="4" t="n">
        <f aca="false">H141/G141-1</f>
        <v>-0.00787878787878793</v>
      </c>
      <c r="K141" s="4" t="n">
        <f aca="false">H141/F141-1</f>
        <v>-0.0370588235294118</v>
      </c>
      <c r="L141" s="0" t="str">
        <f aca="false">IF(AND(J141&gt;=0.05,K141&gt;0),"예","")</f>
        <v/>
      </c>
      <c r="M141" s="4" t="n">
        <v>0.0234448265082838</v>
      </c>
      <c r="N141" s="5" t="s">
        <v>557</v>
      </c>
      <c r="O141" s="8" t="s">
        <v>45</v>
      </c>
    </row>
    <row r="142" customFormat="false" ht="15" hidden="false" customHeight="false" outlineLevel="0" collapsed="false">
      <c r="A142" s="0" t="s">
        <v>558</v>
      </c>
      <c r="B142" s="0" t="s">
        <v>559</v>
      </c>
      <c r="C142" s="0" t="s">
        <v>39</v>
      </c>
      <c r="D142" s="0" t="s">
        <v>56</v>
      </c>
      <c r="E142" s="3" t="n">
        <v>280</v>
      </c>
      <c r="F142" s="3" t="n">
        <v>310</v>
      </c>
      <c r="G142" s="3" t="n">
        <v>295</v>
      </c>
      <c r="H142" s="3" t="n">
        <v>291.854</v>
      </c>
      <c r="I142" s="9" t="s">
        <v>50</v>
      </c>
      <c r="J142" s="4" t="n">
        <f aca="false">H142/G142-1</f>
        <v>-0.0106644067796611</v>
      </c>
      <c r="K142" s="4" t="n">
        <f aca="false">H142/F142-1</f>
        <v>-0.0585354838709677</v>
      </c>
      <c r="L142" s="0" t="str">
        <f aca="false">IF(AND(J142&gt;=0.05,K142&gt;0),"예","")</f>
        <v/>
      </c>
      <c r="M142" s="4" t="n">
        <v>-0.196333225940582</v>
      </c>
      <c r="N142" s="5" t="s">
        <v>560</v>
      </c>
      <c r="O142" s="8" t="s">
        <v>45</v>
      </c>
    </row>
    <row r="143" customFormat="false" ht="15" hidden="false" customHeight="false" outlineLevel="0" collapsed="false">
      <c r="A143" s="0" t="s">
        <v>561</v>
      </c>
      <c r="B143" s="0" t="s">
        <v>562</v>
      </c>
      <c r="C143" s="0" t="s">
        <v>39</v>
      </c>
      <c r="D143" s="0" t="s">
        <v>56</v>
      </c>
      <c r="E143" s="3" t="n">
        <v>295</v>
      </c>
      <c r="F143" s="3" t="n">
        <v>325</v>
      </c>
      <c r="G143" s="3" t="n">
        <v>310</v>
      </c>
      <c r="H143" s="3" t="n">
        <v>304.995</v>
      </c>
      <c r="I143" s="9" t="s">
        <v>50</v>
      </c>
      <c r="J143" s="4" t="n">
        <f aca="false">H143/G143-1</f>
        <v>-0.0161451612903226</v>
      </c>
      <c r="K143" s="4" t="n">
        <f aca="false">H143/F143-1</f>
        <v>-0.0615538461538462</v>
      </c>
      <c r="L143" s="0" t="str">
        <f aca="false">IF(AND(J143&gt;=0.05,K143&gt;0),"예","")</f>
        <v/>
      </c>
      <c r="M143" s="4" t="n">
        <v>-0.0334372801429903</v>
      </c>
      <c r="N143" s="5" t="s">
        <v>563</v>
      </c>
      <c r="O143" s="8" t="s">
        <v>45</v>
      </c>
    </row>
    <row r="144" customFormat="false" ht="15" hidden="false" customHeight="false" outlineLevel="0" collapsed="false">
      <c r="A144" s="0" t="s">
        <v>564</v>
      </c>
      <c r="B144" s="0" t="s">
        <v>565</v>
      </c>
      <c r="C144" s="0" t="s">
        <v>180</v>
      </c>
      <c r="D144" s="0" t="s">
        <v>89</v>
      </c>
      <c r="E144" s="3" t="n">
        <v>2450</v>
      </c>
      <c r="F144" s="3" t="n">
        <v>2475</v>
      </c>
      <c r="G144" s="3" t="n">
        <v>2462.5</v>
      </c>
      <c r="H144" s="3" t="n">
        <v>2415.631</v>
      </c>
      <c r="I144" s="9" t="s">
        <v>50</v>
      </c>
      <c r="J144" s="4" t="n">
        <f aca="false">H144/G144-1</f>
        <v>-0.0190330964467006</v>
      </c>
      <c r="K144" s="4" t="n">
        <f aca="false">H144/F144-1</f>
        <v>-0.0239874747474748</v>
      </c>
      <c r="L144" s="0" t="str">
        <f aca="false">IF(AND(J144&gt;=0.05,K144&gt;0),"예","")</f>
        <v/>
      </c>
      <c r="M144" s="4" t="n">
        <v>-0.0433974241442029</v>
      </c>
      <c r="N144" s="5" t="s">
        <v>566</v>
      </c>
      <c r="O144" s="8" t="s">
        <v>45</v>
      </c>
    </row>
    <row r="145" customFormat="false" ht="15" hidden="false" customHeight="false" outlineLevel="0" collapsed="false">
      <c r="A145" s="0" t="s">
        <v>567</v>
      </c>
      <c r="B145" s="0" t="s">
        <v>568</v>
      </c>
      <c r="C145" s="0" t="s">
        <v>180</v>
      </c>
      <c r="D145" s="0" t="s">
        <v>89</v>
      </c>
      <c r="E145" s="3" t="n">
        <v>1549</v>
      </c>
      <c r="F145" s="3" t="n">
        <v>1549</v>
      </c>
      <c r="G145" s="3" t="n">
        <v>1549</v>
      </c>
      <c r="H145" s="3" t="n">
        <v>1514</v>
      </c>
      <c r="I145" s="9" t="s">
        <v>123</v>
      </c>
      <c r="J145" s="4" t="n">
        <f aca="false">H145/G145-1</f>
        <v>-0.0225952227243383</v>
      </c>
      <c r="K145" s="4" t="n">
        <f aca="false">H145/F145-1</f>
        <v>-0.0225952227243383</v>
      </c>
      <c r="L145" s="0" t="str">
        <f aca="false">IF(AND(J145&gt;=0.05,K145&gt;0),"예","")</f>
        <v/>
      </c>
      <c r="M145" s="4" t="n">
        <v>-0.0225952227243383</v>
      </c>
      <c r="N145" s="5" t="s">
        <v>569</v>
      </c>
      <c r="O145" s="8" t="s">
        <v>45</v>
      </c>
    </row>
    <row r="146" customFormat="false" ht="15" hidden="false" customHeight="false" outlineLevel="0" collapsed="false">
      <c r="A146" s="0" t="s">
        <v>570</v>
      </c>
      <c r="B146" s="0" t="s">
        <v>571</v>
      </c>
      <c r="C146" s="0" t="s">
        <v>54</v>
      </c>
      <c r="D146" s="0" t="s">
        <v>56</v>
      </c>
      <c r="E146" s="3" t="n">
        <v>3250</v>
      </c>
      <c r="F146" s="3" t="n">
        <v>3450</v>
      </c>
      <c r="G146" s="3" t="n">
        <v>3350</v>
      </c>
      <c r="H146" s="3" t="n">
        <v>3274.3</v>
      </c>
      <c r="I146" s="9" t="s">
        <v>50</v>
      </c>
      <c r="J146" s="4" t="n">
        <f aca="false">H146/G146-1</f>
        <v>-0.022597014925373</v>
      </c>
      <c r="K146" s="4" t="n">
        <f aca="false">H146/F146-1</f>
        <v>-0.050927536231884</v>
      </c>
      <c r="L146" s="0" t="str">
        <f aca="false">IF(AND(J146&gt;=0.05,K146&gt;0),"예","")</f>
        <v/>
      </c>
      <c r="M146" s="4" t="n">
        <v>0.241158409461355</v>
      </c>
      <c r="N146" s="5" t="s">
        <v>572</v>
      </c>
      <c r="O146" s="8" t="s">
        <v>45</v>
      </c>
    </row>
    <row r="147" customFormat="false" ht="15" hidden="false" customHeight="false" outlineLevel="0" collapsed="false">
      <c r="A147" s="0" t="s">
        <v>573</v>
      </c>
      <c r="B147" s="0" t="s">
        <v>574</v>
      </c>
      <c r="C147" s="0" t="s">
        <v>261</v>
      </c>
      <c r="D147" s="0" t="s">
        <v>56</v>
      </c>
      <c r="E147" s="3" t="n">
        <v>5900</v>
      </c>
      <c r="F147" s="3" t="n">
        <v>5900</v>
      </c>
      <c r="G147" s="3" t="n">
        <v>5900</v>
      </c>
      <c r="H147" s="3" t="n">
        <v>5732</v>
      </c>
      <c r="I147" s="9" t="s">
        <v>123</v>
      </c>
      <c r="J147" s="4" t="n">
        <f aca="false">H147/G147-1</f>
        <v>-0.0284745762711864</v>
      </c>
      <c r="K147" s="4" t="n">
        <f aca="false">H147/F147-1</f>
        <v>-0.0284745762711864</v>
      </c>
      <c r="L147" s="0" t="str">
        <f aca="false">IF(AND(J147&gt;=0.05,K147&gt;0),"예","")</f>
        <v/>
      </c>
      <c r="M147" s="4" t="n">
        <v>0.235078646843353</v>
      </c>
      <c r="N147" s="5" t="s">
        <v>575</v>
      </c>
      <c r="O147" s="8" t="s">
        <v>45</v>
      </c>
    </row>
    <row r="148" customFormat="false" ht="15" hidden="false" customHeight="false" outlineLevel="0" collapsed="false">
      <c r="A148" s="0" t="s">
        <v>576</v>
      </c>
      <c r="B148" s="0" t="s">
        <v>577</v>
      </c>
      <c r="C148" s="0" t="s">
        <v>78</v>
      </c>
      <c r="D148" s="0" t="s">
        <v>56</v>
      </c>
      <c r="E148" s="3" t="n">
        <v>750</v>
      </c>
      <c r="F148" s="3" t="n">
        <v>750</v>
      </c>
      <c r="G148" s="3" t="n">
        <v>750</v>
      </c>
      <c r="H148" s="3" t="n">
        <v>715.057</v>
      </c>
      <c r="I148" s="9" t="s">
        <v>123</v>
      </c>
      <c r="J148" s="4" t="n">
        <f aca="false">H148/G148-1</f>
        <v>-0.0465906666666667</v>
      </c>
      <c r="K148" s="4" t="n">
        <f aca="false">H148/F148-1</f>
        <v>-0.0465906666666667</v>
      </c>
      <c r="L148" s="0" t="str">
        <f aca="false">IF(AND(J148&gt;=0.05,K148&gt;0),"예","")</f>
        <v/>
      </c>
      <c r="M148" s="4" t="n">
        <v>0.0302836007774778</v>
      </c>
      <c r="N148" s="5" t="s">
        <v>578</v>
      </c>
      <c r="O148" s="8" t="s">
        <v>45</v>
      </c>
    </row>
    <row r="149" customFormat="false" ht="15" hidden="false" customHeight="false" outlineLevel="0" collapsed="false">
      <c r="A149" s="0" t="s">
        <v>579</v>
      </c>
      <c r="B149" s="0" t="s">
        <v>580</v>
      </c>
      <c r="C149" s="0" t="s">
        <v>39</v>
      </c>
      <c r="D149" s="0" t="s">
        <v>56</v>
      </c>
      <c r="E149" s="3" t="n">
        <v>11000</v>
      </c>
      <c r="F149" s="3" t="n">
        <v>12500</v>
      </c>
      <c r="G149" s="3" t="n">
        <v>11750</v>
      </c>
      <c r="H149" s="3" t="n">
        <v>11119.777</v>
      </c>
      <c r="I149" s="9" t="s">
        <v>50</v>
      </c>
      <c r="J149" s="4" t="n">
        <f aca="false">H149/G149-1</f>
        <v>-0.053636</v>
      </c>
      <c r="K149" s="4" t="n">
        <f aca="false">H149/F149-1</f>
        <v>-0.11041784</v>
      </c>
      <c r="L149" s="0" t="str">
        <f aca="false">IF(AND(J149&gt;=0.05,K149&gt;0),"예","")</f>
        <v/>
      </c>
      <c r="M149" s="4" t="n">
        <v>0.931552702482286</v>
      </c>
      <c r="N149" s="5" t="s">
        <v>581</v>
      </c>
      <c r="O149" s="8" t="s">
        <v>45</v>
      </c>
    </row>
    <row r="150" customFormat="false" ht="15" hidden="false" customHeight="false" outlineLevel="0" collapsed="false">
      <c r="A150" s="0" t="s">
        <v>582</v>
      </c>
      <c r="B150" s="0" t="s">
        <v>583</v>
      </c>
      <c r="C150" s="0" t="s">
        <v>262</v>
      </c>
      <c r="D150" s="0" t="s">
        <v>56</v>
      </c>
      <c r="E150" s="3" t="n">
        <v>2700</v>
      </c>
      <c r="F150" s="3" t="n">
        <v>2900</v>
      </c>
      <c r="G150" s="3" t="n">
        <v>2800</v>
      </c>
      <c r="H150" s="3" t="n">
        <v>2410</v>
      </c>
      <c r="I150" s="9" t="s">
        <v>50</v>
      </c>
      <c r="J150" s="4" t="n">
        <f aca="false">H150/G150-1</f>
        <v>-0.139285714285714</v>
      </c>
      <c r="K150" s="4" t="n">
        <f aca="false">H150/F150-1</f>
        <v>-0.168965517241379</v>
      </c>
      <c r="L150" s="0" t="str">
        <f aca="false">IF(AND(J150&gt;=0.05,K150&gt;0),"예","")</f>
        <v/>
      </c>
      <c r="M150" s="4" t="n">
        <v>0.859567901234568</v>
      </c>
      <c r="N150" s="5" t="s">
        <v>584</v>
      </c>
      <c r="O150" s="8" t="s">
        <v>45</v>
      </c>
    </row>
    <row r="151" customFormat="false" ht="15" hidden="false" customHeight="false" outlineLevel="0" collapsed="false">
      <c r="A151" s="0" t="s">
        <v>585</v>
      </c>
      <c r="B151" s="0" t="s">
        <v>586</v>
      </c>
      <c r="C151" s="0" t="s">
        <v>267</v>
      </c>
      <c r="D151" s="0" t="s">
        <v>56</v>
      </c>
      <c r="E151" s="3" t="n">
        <v>1200</v>
      </c>
      <c r="F151" s="3" t="n">
        <v>1200</v>
      </c>
      <c r="G151" s="3" t="n">
        <v>1200</v>
      </c>
      <c r="H151" s="3" t="n">
        <v>895.699</v>
      </c>
      <c r="I151" s="9" t="s">
        <v>123</v>
      </c>
      <c r="J151" s="4" t="n">
        <f aca="false">H151/G151-1</f>
        <v>-0.253584166666667</v>
      </c>
      <c r="K151" s="4" t="n">
        <f aca="false">H151/F151-1</f>
        <v>-0.253584166666667</v>
      </c>
      <c r="L151" s="0" t="str">
        <f aca="false">IF(AND(J151&gt;=0.05,K151&gt;0),"예","")</f>
        <v/>
      </c>
      <c r="M151" s="4" t="n">
        <v>0.0313682773010062</v>
      </c>
      <c r="N151" s="5" t="s">
        <v>587</v>
      </c>
      <c r="O151" s="8" t="s">
        <v>45</v>
      </c>
    </row>
    <row r="152" customFormat="false" ht="15" hidden="false" customHeight="false" outlineLevel="0" collapsed="false">
      <c r="A152" s="0" t="s">
        <v>588</v>
      </c>
      <c r="B152" s="0" t="s">
        <v>589</v>
      </c>
      <c r="C152" s="0" t="s">
        <v>78</v>
      </c>
      <c r="D152" s="0" t="s">
        <v>56</v>
      </c>
      <c r="E152" s="3" t="n">
        <v>37100</v>
      </c>
      <c r="F152" s="3" t="n">
        <v>37500</v>
      </c>
      <c r="G152" s="3" t="n">
        <v>37300</v>
      </c>
      <c r="H152" s="3" t="n">
        <v>22791</v>
      </c>
      <c r="I152" s="9" t="s">
        <v>50</v>
      </c>
      <c r="J152" s="4" t="n">
        <f aca="false">H152/G152-1</f>
        <v>-0.388981233243968</v>
      </c>
      <c r="K152" s="4" t="n">
        <f aca="false">H152/F152-1</f>
        <v>-0.39224</v>
      </c>
      <c r="L152" s="0" t="str">
        <f aca="false">IF(AND(J152&gt;=0.05,K152&gt;0),"예","")</f>
        <v/>
      </c>
      <c r="M152" s="4" t="n">
        <v>0.0785065303804657</v>
      </c>
      <c r="N152" s="5" t="s">
        <v>590</v>
      </c>
      <c r="O152" s="8" t="s">
        <v>45</v>
      </c>
    </row>
  </sheetData>
  <autoFilter ref="A1:P152"/>
  <hyperlinks>
    <hyperlink ref="O2" r:id="rId1" display="8-K 보기"/>
    <hyperlink ref="O3" r:id="rId2" display="8-K 보기"/>
    <hyperlink ref="O4" r:id="rId3" display="8-K 보기"/>
    <hyperlink ref="O5" r:id="rId4" display="8-K 보기"/>
    <hyperlink ref="O6" r:id="rId5" display="8-K 보기"/>
    <hyperlink ref="O7" r:id="rId6" display="8-K 보기"/>
    <hyperlink ref="O8" r:id="rId7" display="8-K 보기"/>
    <hyperlink ref="O9" r:id="rId8" display="8-K 보기"/>
    <hyperlink ref="O10" r:id="rId9" display="8-K 보기"/>
    <hyperlink ref="O11" r:id="rId10" display="8-K 보기"/>
    <hyperlink ref="O12" r:id="rId11" display="8-K 보기"/>
    <hyperlink ref="O13" r:id="rId12" display="8-K 보기"/>
    <hyperlink ref="O14" r:id="rId13" display="8-K 보기"/>
    <hyperlink ref="O15" r:id="rId14" display="8-K 보기"/>
    <hyperlink ref="O16" r:id="rId15" display="8-K 보기"/>
    <hyperlink ref="O17" r:id="rId16" display="8-K 보기"/>
    <hyperlink ref="O18" r:id="rId17" display="8-K 보기"/>
    <hyperlink ref="O19" r:id="rId18" display="8-K 보기"/>
    <hyperlink ref="O20" r:id="rId19" display="8-K 보기"/>
    <hyperlink ref="O21" r:id="rId20" display="8-K 보기"/>
    <hyperlink ref="O22" r:id="rId21" display="8-K 보기"/>
    <hyperlink ref="O23" r:id="rId22" display="8-K 보기"/>
    <hyperlink ref="O24" r:id="rId23" display="8-K 보기"/>
    <hyperlink ref="O25" r:id="rId24" display="8-K 보기"/>
    <hyperlink ref="O26" r:id="rId25" display="8-K 보기"/>
    <hyperlink ref="O27" r:id="rId26" display="8-K 보기"/>
    <hyperlink ref="O28" r:id="rId27" display="8-K 보기"/>
    <hyperlink ref="O29" r:id="rId28" display="8-K 보기"/>
    <hyperlink ref="O30" r:id="rId29" display="8-K 보기"/>
    <hyperlink ref="O31" r:id="rId30" display="8-K 보기"/>
    <hyperlink ref="O32" r:id="rId31" display="8-K 보기"/>
    <hyperlink ref="O33" r:id="rId32" display="8-K 보기"/>
    <hyperlink ref="O34" r:id="rId33" display="8-K 보기"/>
    <hyperlink ref="O35" r:id="rId34" display="8-K 보기"/>
    <hyperlink ref="O36" r:id="rId35" display="8-K 보기"/>
    <hyperlink ref="O37" r:id="rId36" display="8-K 보기"/>
    <hyperlink ref="O38" r:id="rId37" display="8-K 보기"/>
    <hyperlink ref="O39" r:id="rId38" display="8-K 보기"/>
    <hyperlink ref="O40" r:id="rId39" display="8-K 보기"/>
    <hyperlink ref="O41" r:id="rId40" display="8-K 보기"/>
    <hyperlink ref="O42" r:id="rId41" display="8-K 보기"/>
    <hyperlink ref="O43" r:id="rId42" display="8-K 보기"/>
    <hyperlink ref="O44" r:id="rId43" display="8-K 보기"/>
    <hyperlink ref="O45" r:id="rId44" display="8-K 보기"/>
    <hyperlink ref="O46" r:id="rId45" display="8-K 보기"/>
    <hyperlink ref="O47" r:id="rId46" display="8-K 보기"/>
    <hyperlink ref="O48" r:id="rId47" display="8-K 보기"/>
    <hyperlink ref="O49" r:id="rId48" display="8-K 보기"/>
    <hyperlink ref="O50" r:id="rId49" display="8-K 보기"/>
    <hyperlink ref="O51" r:id="rId50" display="8-K 보기"/>
    <hyperlink ref="O52" r:id="rId51" display="8-K 보기"/>
    <hyperlink ref="O53" r:id="rId52" display="8-K 보기"/>
    <hyperlink ref="O54" r:id="rId53" display="8-K 보기"/>
    <hyperlink ref="O55" r:id="rId54" display="8-K 보기"/>
    <hyperlink ref="O56" r:id="rId55" display="8-K 보기"/>
    <hyperlink ref="O57" r:id="rId56" display="8-K 보기"/>
    <hyperlink ref="O58" r:id="rId57" display="8-K 보기"/>
    <hyperlink ref="O59" r:id="rId58" display="8-K 보기"/>
    <hyperlink ref="O60" r:id="rId59" display="8-K 보기"/>
    <hyperlink ref="O61" r:id="rId60" display="8-K 보기"/>
    <hyperlink ref="O62" r:id="rId61" display="8-K 보기"/>
    <hyperlink ref="O63" r:id="rId62" display="8-K 보기"/>
    <hyperlink ref="O64" r:id="rId63" display="8-K 보기"/>
    <hyperlink ref="O65" r:id="rId64" display="8-K 보기"/>
    <hyperlink ref="O66" r:id="rId65" display="8-K 보기"/>
    <hyperlink ref="O67" r:id="rId66" display="8-K 보기"/>
    <hyperlink ref="O68" r:id="rId67" display="8-K 보기"/>
    <hyperlink ref="O69" r:id="rId68" display="8-K 보기"/>
    <hyperlink ref="O70" r:id="rId69" display="8-K 보기"/>
    <hyperlink ref="O71" r:id="rId70" display="8-K 보기"/>
    <hyperlink ref="O72" r:id="rId71" display="8-K 보기"/>
    <hyperlink ref="O73" r:id="rId72" display="8-K 보기"/>
    <hyperlink ref="O74" r:id="rId73" display="8-K 보기"/>
    <hyperlink ref="O75" r:id="rId74" display="8-K 보기"/>
    <hyperlink ref="O76" r:id="rId75" display="8-K 보기"/>
    <hyperlink ref="O77" r:id="rId76" display="8-K 보기"/>
    <hyperlink ref="O78" r:id="rId77" display="8-K 보기"/>
    <hyperlink ref="O79" r:id="rId78" display="8-K 보기"/>
    <hyperlink ref="O80" r:id="rId79" display="8-K 보기"/>
    <hyperlink ref="O81" r:id="rId80" display="8-K 보기"/>
    <hyperlink ref="O82" r:id="rId81" display="8-K 보기"/>
    <hyperlink ref="O83" r:id="rId82" display="8-K 보기"/>
    <hyperlink ref="O84" r:id="rId83" display="8-K 보기"/>
    <hyperlink ref="O85" r:id="rId84" display="8-K 보기"/>
    <hyperlink ref="O86" r:id="rId85" display="8-K 보기"/>
    <hyperlink ref="O87" r:id="rId86" display="8-K 보기"/>
    <hyperlink ref="O88" r:id="rId87" display="8-K 보기"/>
    <hyperlink ref="O89" r:id="rId88" display="8-K 보기"/>
    <hyperlink ref="O90" r:id="rId89" display="8-K 보기"/>
    <hyperlink ref="O91" r:id="rId90" display="8-K 보기"/>
    <hyperlink ref="O92" r:id="rId91" display="8-K 보기"/>
    <hyperlink ref="O93" r:id="rId92" display="8-K 보기"/>
    <hyperlink ref="O94" r:id="rId93" display="8-K 보기"/>
    <hyperlink ref="O95" r:id="rId94" display="8-K 보기"/>
    <hyperlink ref="O96" r:id="rId95" display="8-K 보기"/>
    <hyperlink ref="O97" r:id="rId96" display="8-K 보기"/>
    <hyperlink ref="O98" r:id="rId97" display="8-K 보기"/>
    <hyperlink ref="O99" r:id="rId98" display="8-K 보기"/>
    <hyperlink ref="O100" r:id="rId99" display="8-K 보기"/>
    <hyperlink ref="O101" r:id="rId100" display="8-K 보기"/>
    <hyperlink ref="O102" r:id="rId101" display="8-K 보기"/>
    <hyperlink ref="O103" r:id="rId102" display="8-K 보기"/>
    <hyperlink ref="O104" r:id="rId103" display="8-K 보기"/>
    <hyperlink ref="O105" r:id="rId104" display="8-K 보기"/>
    <hyperlink ref="O106" r:id="rId105" display="8-K 보기"/>
    <hyperlink ref="O107" r:id="rId106" display="8-K 보기"/>
    <hyperlink ref="O108" r:id="rId107" display="8-K 보기"/>
    <hyperlink ref="O109" r:id="rId108" display="8-K 보기"/>
    <hyperlink ref="O110" r:id="rId109" display="8-K 보기"/>
    <hyperlink ref="O111" r:id="rId110" display="8-K 보기"/>
    <hyperlink ref="O112" r:id="rId111" display="8-K 보기"/>
    <hyperlink ref="O113" r:id="rId112" display="8-K 보기"/>
    <hyperlink ref="O114" r:id="rId113" display="8-K 보기"/>
    <hyperlink ref="O115" r:id="rId114" display="8-K 보기"/>
    <hyperlink ref="O116" r:id="rId115" display="8-K 보기"/>
    <hyperlink ref="O117" r:id="rId116" display="8-K 보기"/>
    <hyperlink ref="O118" r:id="rId117" display="8-K 보기"/>
    <hyperlink ref="O119" r:id="rId118" display="8-K 보기"/>
    <hyperlink ref="O120" r:id="rId119" display="8-K 보기"/>
    <hyperlink ref="O121" r:id="rId120" display="8-K 보기"/>
    <hyperlink ref="O122" r:id="rId121" display="8-K 보기"/>
    <hyperlink ref="O123" r:id="rId122" display="8-K 보기"/>
    <hyperlink ref="O124" r:id="rId123" display="8-K 보기"/>
    <hyperlink ref="O125" r:id="rId124" display="8-K 보기"/>
    <hyperlink ref="O126" r:id="rId125" display="8-K 보기"/>
    <hyperlink ref="O127" r:id="rId126" display="8-K 보기"/>
    <hyperlink ref="O128" r:id="rId127" display="8-K 보기"/>
    <hyperlink ref="O129" r:id="rId128" display="8-K 보기"/>
    <hyperlink ref="O130" r:id="rId129" display="8-K 보기"/>
    <hyperlink ref="O131" r:id="rId130" display="8-K 보기"/>
    <hyperlink ref="O132" r:id="rId131" display="8-K 보기"/>
    <hyperlink ref="O133" r:id="rId132" display="8-K 보기"/>
    <hyperlink ref="O134" r:id="rId133" display="8-K 보기"/>
    <hyperlink ref="O135" r:id="rId134" display="8-K 보기"/>
    <hyperlink ref="O136" r:id="rId135" display="8-K 보기"/>
    <hyperlink ref="O137" r:id="rId136" display="8-K 보기"/>
    <hyperlink ref="O138" r:id="rId137" display="8-K 보기"/>
    <hyperlink ref="O139" r:id="rId138" display="8-K 보기"/>
    <hyperlink ref="O140" r:id="rId139" display="8-K 보기"/>
    <hyperlink ref="O141" r:id="rId140" display="8-K 보기"/>
    <hyperlink ref="O142" r:id="rId141" display="8-K 보기"/>
    <hyperlink ref="O143" r:id="rId142" display="8-K 보기"/>
    <hyperlink ref="O144" r:id="rId143" display="8-K 보기"/>
    <hyperlink ref="O145" r:id="rId144" display="8-K 보기"/>
    <hyperlink ref="O146" r:id="rId145" display="8-K 보기"/>
    <hyperlink ref="O147" r:id="rId146" display="8-K 보기"/>
    <hyperlink ref="O148" r:id="rId147" display="8-K 보기"/>
    <hyperlink ref="O149" r:id="rId148" display="8-K 보기"/>
    <hyperlink ref="O150" r:id="rId149" display="8-K 보기"/>
    <hyperlink ref="O151" r:id="rId150" display="8-K 보기"/>
    <hyperlink ref="O152" r:id="rId151" display="8-K 보기"/>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40"/>
  </cols>
  <sheetData>
    <row r="1" customFormat="false" ht="15" hidden="false" customHeight="false" outlineLevel="0" collapsed="false">
      <c r="A1" s="12" t="s">
        <v>591</v>
      </c>
      <c r="B1" s="5" t="s">
        <v>592</v>
      </c>
    </row>
    <row r="2" customFormat="false" ht="15" hidden="false" customHeight="false" outlineLevel="0" collapsed="false">
      <c r="A2" s="12" t="s">
        <v>593</v>
      </c>
      <c r="B2" s="5" t="s">
        <v>594</v>
      </c>
    </row>
    <row r="3" customFormat="false" ht="14.9" hidden="false" customHeight="false" outlineLevel="0" collapsed="false">
      <c r="A3" s="12" t="s">
        <v>595</v>
      </c>
      <c r="B3" s="9" t="s">
        <v>596</v>
      </c>
    </row>
    <row r="4" customFormat="false" ht="15" hidden="false" customHeight="false" outlineLevel="0" collapsed="false">
      <c r="A4" s="12" t="s">
        <v>597</v>
      </c>
      <c r="B4" s="5" t="s">
        <v>598</v>
      </c>
    </row>
    <row r="5" customFormat="false" ht="15" hidden="false" customHeight="false" outlineLevel="0" collapsed="false">
      <c r="A5" s="12" t="s">
        <v>599</v>
      </c>
      <c r="B5" s="5" t="s">
        <v>600</v>
      </c>
    </row>
    <row r="6" customFormat="false" ht="14.9" hidden="false" customHeight="false" outlineLevel="0" collapsed="false">
      <c r="A6" s="13" t="s">
        <v>601</v>
      </c>
      <c r="B6" s="5" t="s">
        <v>602</v>
      </c>
    </row>
    <row r="7" customFormat="false" ht="15" hidden="false" customHeight="false" outlineLevel="0" collapsed="false">
      <c r="A7" s="12" t="s">
        <v>12</v>
      </c>
      <c r="B7" s="9" t="s">
        <v>603</v>
      </c>
    </row>
    <row r="8" customFormat="false" ht="14.9" hidden="false" customHeight="false" outlineLevel="0" collapsed="false">
      <c r="A8" s="13" t="s">
        <v>604</v>
      </c>
      <c r="B8" s="5" t="s">
        <v>605</v>
      </c>
    </row>
    <row r="9" customFormat="false" ht="15" hidden="false" customHeight="false" outlineLevel="0" collapsed="false">
      <c r="A9" s="12" t="s">
        <v>606</v>
      </c>
      <c r="B9" s="5" t="s">
        <v>607</v>
      </c>
    </row>
    <row r="10" customFormat="false" ht="15" hidden="false" customHeight="false" outlineLevel="0" collapsed="false">
      <c r="A10" s="13" t="s">
        <v>608</v>
      </c>
      <c r="B10" s="5" t="s">
        <v>609</v>
      </c>
    </row>
    <row r="11" customFormat="false" ht="14.9" hidden="false" customHeight="false" outlineLevel="0" collapsed="false">
      <c r="A11" s="13" t="s">
        <v>610</v>
      </c>
      <c r="B11" s="9" t="s">
        <v>611</v>
      </c>
    </row>
    <row r="12" customFormat="false" ht="14.9" hidden="false" customHeight="false" outlineLevel="0" collapsed="false">
      <c r="A12" s="12" t="s">
        <v>612</v>
      </c>
      <c r="B12" s="5" t="s">
        <v>613</v>
      </c>
    </row>
    <row r="13" customFormat="false" ht="15" hidden="false" customHeight="false" outlineLevel="0" collapsed="false">
      <c r="A13" s="12" t="s">
        <v>614</v>
      </c>
      <c r="B13" s="9" t="s">
        <v>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2026-09-25T14:04:58Z</dcterms:created>
  <dc:creator>openpyxl</dc:creator>
  <dc:description/>
  <dc:language>en-US</dc:language>
  <cp:lastModifiedBy/>
  <dcterms:modified xsi:type="dcterms:W3CDTF">2026-09-25T14:04:58Z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