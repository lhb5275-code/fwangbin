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적" sheetId="1" state="visible" r:id="rId3"/>
    <sheet name="수익률 분석" sheetId="2" state="visible" r:id="rId4"/>
    <sheet name="메모" sheetId="3" state="visible" r:id="rId5"/>
  </sheets>
  <definedNames>
    <definedName function="false" hidden="true" localSheetId="0" name="_xlnm._FilterDatabase" vbProcedure="false">실적!$A$1:$AC$504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<sst xmlns="http://schemas.openxmlformats.org/spreadsheetml/2006/main" count="6425" uniqueCount="1335">
  <si>
    <t xml:space="preserve">기업명</t>
  </si>
  <si>
    <t xml:space="preserve">티커</t>
  </si>
  <si>
    <t xml:space="preserve">최근 분기 종료일</t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</si>
  <si>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Q0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</si>
  <si>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Q-1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</si>
  <si>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Q-2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</si>
  <si>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Q-3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</si>
  <si>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Q-4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</si>
  <si>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Q0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</si>
  <si>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Q-1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</si>
  <si>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Q-2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</si>
  <si>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Q-3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</si>
  <si>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Q-4 (</t>
    </r>
    <r>
      <rPr>
        <b val="true"/>
        <sz val="11"/>
        <rFont val="WenQuanYi Zen Hei"/>
        <family val="2"/>
      </rPr>
      <t xml:space="preserve">백만</t>
    </r>
    <r>
      <rPr>
        <b val="true"/>
        <sz val="11"/>
        <rFont val="Cambria"/>
        <family val="0"/>
        <charset val="1"/>
      </rPr>
      <t xml:space="preserve">$)</t>
    </r>
  </si>
  <si>
    <r>
      <rPr>
        <b val="true"/>
        <sz val="11"/>
        <rFont val="WenQuanYi Zen Hei"/>
        <family val="2"/>
      </rPr>
      <t xml:space="preserve">매출성장률</t>
    </r>
    <r>
      <rPr>
        <b val="true"/>
        <sz val="11"/>
        <rFont val="Cambria"/>
        <family val="0"/>
        <charset val="1"/>
      </rPr>
      <t xml:space="preserve">(YoY)</t>
    </r>
  </si>
  <si>
    <r>
      <rPr>
        <b val="true"/>
        <sz val="11"/>
        <rFont val="WenQuanYi Zen Hei"/>
        <family val="2"/>
      </rPr>
      <t xml:space="preserve">영업이익성장률</t>
    </r>
    <r>
      <rPr>
        <b val="true"/>
        <sz val="11"/>
        <rFont val="Cambria"/>
        <family val="0"/>
        <charset val="1"/>
      </rPr>
      <t xml:space="preserve">(YoY)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</si>
  <si>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QoQ(Q0)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</si>
  <si>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QoQ(Q-1)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</si>
  <si>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QoQ(Q-2)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</si>
  <si>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QoQ(Q-3)</t>
    </r>
  </si>
  <si>
    <t xml:space="preserve">선정 기준</t>
  </si>
  <si>
    <t xml:space="preserve">주요 사업</t>
  </si>
  <si>
    <r>
      <rPr>
        <b val="true"/>
        <sz val="11"/>
        <rFont val="Cambria"/>
        <family val="0"/>
        <charset val="1"/>
      </rPr>
      <t xml:space="preserve">GICS </t>
    </r>
    <r>
      <rPr>
        <b val="true"/>
        <sz val="11"/>
        <rFont val="WenQuanYi Zen Hei"/>
        <family val="2"/>
      </rPr>
      <t xml:space="preserve">섹터</t>
    </r>
  </si>
  <si>
    <r>
      <rPr>
        <b val="true"/>
        <sz val="11"/>
        <rFont val="WenQuanYi Zen Hei"/>
        <family val="2"/>
      </rPr>
      <t xml:space="preserve">주가 </t>
    </r>
    <r>
      <rPr>
        <b val="true"/>
        <sz val="11"/>
        <rFont val="Cambria"/>
        <family val="0"/>
        <charset val="1"/>
      </rPr>
      <t xml:space="preserve">2025-09-24 ($)</t>
    </r>
  </si>
  <si>
    <r>
      <rPr>
        <b val="true"/>
        <sz val="11"/>
        <rFont val="WenQuanYi Zen Hei"/>
        <family val="2"/>
      </rPr>
      <t xml:space="preserve">주가 </t>
    </r>
    <r>
      <rPr>
        <b val="true"/>
        <sz val="11"/>
        <rFont val="Cambria"/>
        <family val="0"/>
        <charset val="1"/>
      </rPr>
      <t xml:space="preserve">2026-09-23 ($)</t>
    </r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</si>
  <si>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년 주가수익률</t>
    </r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</si>
  <si>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년 총수익률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배당 포함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</si>
  <si>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년 전 매출성장률</t>
    </r>
    <r>
      <rPr>
        <b val="true"/>
        <sz val="11"/>
        <rFont val="Cambria"/>
        <family val="0"/>
        <charset val="1"/>
      </rPr>
      <t xml:space="preserve">(YoY, 2025-09-24 </t>
    </r>
    <r>
      <rPr>
        <b val="true"/>
        <sz val="11"/>
        <rFont val="WenQuanYi Zen Hei"/>
        <family val="2"/>
      </rPr>
      <t xml:space="preserve">시점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</si>
  <si>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년 전 선정 기준 </t>
    </r>
    <r>
      <rPr>
        <b val="true"/>
        <sz val="11"/>
        <rFont val="Cambria"/>
        <family val="0"/>
        <charset val="1"/>
      </rPr>
      <t xml:space="preserve">(2025-09-24 </t>
    </r>
    <r>
      <rPr>
        <b val="true"/>
        <sz val="11"/>
        <rFont val="WenQuanYi Zen Hei"/>
        <family val="2"/>
      </rPr>
      <t xml:space="preserve">시점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</si>
  <si>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YoY </t>
    </r>
    <r>
      <rPr>
        <b val="true"/>
        <sz val="11"/>
        <rFont val="WenQuanYi Zen Hei"/>
        <family val="2"/>
      </rPr>
      <t xml:space="preserve">변화</t>
    </r>
    <r>
      <rPr>
        <b val="true"/>
        <sz val="11"/>
        <rFont val="Cambria"/>
        <family val="0"/>
        <charset val="1"/>
      </rPr>
      <t xml:space="preserve">(%p, </t>
    </r>
    <r>
      <rPr>
        <b val="true"/>
        <sz val="11"/>
        <rFont val="WenQuanYi Zen Hei"/>
        <family val="2"/>
      </rPr>
      <t xml:space="preserve">현재</t>
    </r>
    <r>
      <rPr>
        <b val="true"/>
        <sz val="11"/>
        <rFont val="Cambria"/>
        <family val="0"/>
        <charset val="1"/>
      </rPr>
      <t xml:space="preserve">-1</t>
    </r>
    <r>
      <rPr>
        <b val="true"/>
        <sz val="11"/>
        <rFont val="WenQuanYi Zen Hei"/>
        <family val="2"/>
      </rPr>
      <t xml:space="preserve">년 전</t>
    </r>
    <r>
      <rPr>
        <b val="true"/>
        <sz val="11"/>
        <rFont val="Cambria"/>
        <family val="0"/>
        <charset val="1"/>
      </rPr>
      <t xml:space="preserve">)</t>
    </r>
  </si>
  <si>
    <t xml:space="preserve">CDW Corporation</t>
  </si>
  <si>
    <t xml:space="preserve">CDW</t>
  </si>
  <si>
    <t xml:space="preserve">2026-06-30</t>
  </si>
  <si>
    <r>
      <rPr>
        <sz val="11"/>
        <color theme="1"/>
        <rFont val="Calibri"/>
        <family val="2"/>
        <charset val="1"/>
      </rPr>
      <t xml:space="preserve">QoQ </t>
    </r>
    <r>
      <rPr>
        <sz val="11"/>
        <color theme="1"/>
        <rFont val="WenQuanYi Zen Hei"/>
        <family val="2"/>
      </rPr>
      <t xml:space="preserve">가속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최근 </t>
    </r>
    <r>
      <rPr>
        <sz val="11"/>
        <color theme="1"/>
        <rFont val="Calibri"/>
        <family val="2"/>
        <charset val="1"/>
      </rPr>
      <t xml:space="preserve">QoQ≥10%</t>
    </r>
  </si>
  <si>
    <r>
      <rPr>
        <sz val="11"/>
        <color theme="1"/>
        <rFont val="WenQuanYi Zen Hei"/>
        <family val="2"/>
      </rPr>
      <t xml:space="preserve">기업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공공기관 대상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하드웨어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소프트웨어 유통 및 솔루션</t>
    </r>
  </si>
  <si>
    <t xml:space="preserve">Information Technology</t>
  </si>
  <si>
    <r>
      <rPr>
        <sz val="11"/>
        <color theme="1"/>
        <rFont val="WenQuanYi Zen Hei"/>
        <family val="2"/>
      </rPr>
      <t xml:space="preserve">최근 </t>
    </r>
    <r>
      <rPr>
        <sz val="11"/>
        <color theme="1"/>
        <rFont val="Calibri"/>
        <family val="2"/>
        <charset val="1"/>
      </rPr>
      <t xml:space="preserve">QoQ≥10%</t>
    </r>
  </si>
  <si>
    <t xml:space="preserve">Applied Materials</t>
  </si>
  <si>
    <t xml:space="preserve">AMAT</t>
  </si>
  <si>
    <t xml:space="preserve">2026-07-31</t>
  </si>
  <si>
    <r>
      <rPr>
        <sz val="11"/>
        <color theme="1"/>
        <rFont val="WenQuanYi Zen Hei"/>
        <family val="2"/>
      </rPr>
      <t xml:space="preserve">반도체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디스플레이 제조 장비</t>
    </r>
  </si>
  <si>
    <t xml:space="preserve">Home Depot (The)</t>
  </si>
  <si>
    <t xml:space="preserve">HD</t>
  </si>
  <si>
    <r>
      <rPr>
        <sz val="11"/>
        <color theme="1"/>
        <rFont val="WenQuanYi Zen Hei"/>
        <family val="2"/>
      </rPr>
      <t xml:space="preserve">주택개량 자재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용품 소매</t>
    </r>
  </si>
  <si>
    <t xml:space="preserve">Consumer Discretionary</t>
  </si>
  <si>
    <t xml:space="preserve">Eaton Corporation</t>
  </si>
  <si>
    <t xml:space="preserve">ETN</t>
  </si>
  <si>
    <r>
      <rPr>
        <sz val="11"/>
        <color theme="1"/>
        <rFont val="WenQuanYi Zen Hei"/>
        <family val="2"/>
      </rPr>
      <t xml:space="preserve">전력관리 장비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데이터센터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전기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항공</t>
    </r>
    <r>
      <rPr>
        <sz val="11"/>
        <color theme="1"/>
        <rFont val="Calibri"/>
        <family val="2"/>
        <charset val="1"/>
      </rPr>
      <t xml:space="preserve">)</t>
    </r>
  </si>
  <si>
    <t xml:space="preserve">Industrials</t>
  </si>
  <si>
    <t xml:space="preserve">Cboe Global Markets</t>
  </si>
  <si>
    <t xml:space="preserve">CBOE</t>
  </si>
  <si>
    <r>
      <rPr>
        <sz val="11"/>
        <color theme="1"/>
        <rFont val="WenQuanYi Zen Hei"/>
        <family val="2"/>
      </rPr>
      <t xml:space="preserve">옵션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주식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선물 거래소 운영</t>
    </r>
  </si>
  <si>
    <t xml:space="preserve">Financials</t>
  </si>
  <si>
    <t xml:space="preserve">Marvell Technology</t>
  </si>
  <si>
    <t xml:space="preserve">MRVL</t>
  </si>
  <si>
    <r>
      <rPr>
        <sz val="11"/>
        <color theme="1"/>
        <rFont val="WenQuanYi Zen Hei"/>
        <family val="2"/>
      </rPr>
      <t xml:space="preserve">데이터센터용 맞춤형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광통신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네트워크 반도체</t>
    </r>
  </si>
  <si>
    <t xml:space="preserve">Coherent Corp.</t>
  </si>
  <si>
    <t xml:space="preserve">COHR</t>
  </si>
  <si>
    <r>
      <rPr>
        <sz val="11"/>
        <color theme="1"/>
        <rFont val="WenQuanYi Zen Hei"/>
        <family val="2"/>
      </rPr>
      <t xml:space="preserve">레이저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광트랜시버 등 광학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광전자 부품</t>
    </r>
  </si>
  <si>
    <t xml:space="preserve">Lowe's</t>
  </si>
  <si>
    <t xml:space="preserve">LOW</t>
  </si>
  <si>
    <t xml:space="preserve">Arista Networks</t>
  </si>
  <si>
    <t xml:space="preserve">ANET</t>
  </si>
  <si>
    <r>
      <rPr>
        <sz val="11"/>
        <color theme="1"/>
        <rFont val="WenQuanYi Zen Hei"/>
        <family val="2"/>
      </rPr>
      <t xml:space="preserve">데이터센터</t>
    </r>
    <r>
      <rPr>
        <sz val="11"/>
        <color theme="1"/>
        <rFont val="Calibri"/>
        <family val="2"/>
        <charset val="1"/>
      </rPr>
      <t xml:space="preserve">·AI </t>
    </r>
    <r>
      <rPr>
        <sz val="11"/>
        <color theme="1"/>
        <rFont val="WenQuanYi Zen Hei"/>
        <family val="2"/>
      </rPr>
      <t xml:space="preserve">클러스터용 고속 네트워크 스위치</t>
    </r>
  </si>
  <si>
    <t xml:space="preserve">Darden Restaurants</t>
  </si>
  <si>
    <t xml:space="preserve">DRI</t>
  </si>
  <si>
    <t xml:space="preserve">2026-05-31</t>
  </si>
  <si>
    <t xml:space="preserve">올리브가든 등 캐주얼 다이닝 레스토랑 체인</t>
  </si>
  <si>
    <t xml:space="preserve">Howmet Aerospace</t>
  </si>
  <si>
    <t xml:space="preserve">HWM</t>
  </si>
  <si>
    <r>
      <rPr>
        <sz val="11"/>
        <color theme="1"/>
        <rFont val="WenQuanYi Zen Hei"/>
        <family val="2"/>
      </rPr>
      <t xml:space="preserve">항공기 엔진 부품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체결재 및 단조 휠</t>
    </r>
  </si>
  <si>
    <t xml:space="preserve">Apollo Global Management</t>
  </si>
  <si>
    <t xml:space="preserve">APO</t>
  </si>
  <si>
    <r>
      <rPr>
        <sz val="11"/>
        <color theme="1"/>
        <rFont val="WenQuanYi Zen Hei"/>
        <family val="2"/>
      </rPr>
      <t xml:space="preserve">사모신용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사모펀드 대체자산 운용 및 은퇴보험</t>
    </r>
    <r>
      <rPr>
        <sz val="11"/>
        <color theme="1"/>
        <rFont val="Calibri"/>
        <family val="2"/>
        <charset val="1"/>
      </rPr>
      <t xml:space="preserve">(Athene)</t>
    </r>
  </si>
  <si>
    <t xml:space="preserve">Live Nation Entertainment</t>
  </si>
  <si>
    <t xml:space="preserve">LYV</t>
  </si>
  <si>
    <r>
      <rPr>
        <sz val="11"/>
        <color theme="1"/>
        <rFont val="WenQuanYi Zen Hei"/>
        <family val="2"/>
      </rPr>
      <t xml:space="preserve">공연 기획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프로모션 및 티켓 판매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티켓마스터</t>
    </r>
    <r>
      <rPr>
        <sz val="11"/>
        <color theme="1"/>
        <rFont val="Calibri"/>
        <family val="2"/>
        <charset val="1"/>
      </rPr>
      <t xml:space="preserve">)</t>
    </r>
  </si>
  <si>
    <t xml:space="preserve">Communication Services</t>
  </si>
  <si>
    <t xml:space="preserve">Devon Energy</t>
  </si>
  <si>
    <t xml:space="preserve">DVN</t>
  </si>
  <si>
    <r>
      <rPr>
        <sz val="11"/>
        <color theme="1"/>
        <rFont val="WenQuanYi Zen Hei"/>
        <family val="2"/>
      </rPr>
      <t xml:space="preserve">미국 셰일 원유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천연가스 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</t>
    </r>
  </si>
  <si>
    <t xml:space="preserve">Energy</t>
  </si>
  <si>
    <t xml:space="preserve">Keurig Dr Pepper</t>
  </si>
  <si>
    <t xml:space="preserve">KDP</t>
  </si>
  <si>
    <r>
      <rPr>
        <sz val="11"/>
        <color theme="1"/>
        <rFont val="WenQuanYi Zen Hei"/>
        <family val="2"/>
      </rPr>
      <t xml:space="preserve">커피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큐리그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음료 브랜드 제조 및 유통</t>
    </r>
  </si>
  <si>
    <t xml:space="preserve">Consumer Staples</t>
  </si>
  <si>
    <t xml:space="preserve">Micron Technology</t>
  </si>
  <si>
    <t xml:space="preserve">MU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</si>
  <si>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낸드 메모리 반도체 제조 </t>
    </r>
    <r>
      <rPr>
        <sz val="11"/>
        <color theme="1"/>
        <rFont val="Calibri"/>
        <family val="2"/>
        <charset val="1"/>
      </rPr>
      <t xml:space="preserve">(AI </t>
    </r>
    <r>
      <rPr>
        <sz val="11"/>
        <color theme="1"/>
        <rFont val="WenQuanYi Zen Hei"/>
        <family val="2"/>
      </rPr>
      <t xml:space="preserve">서버용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포함</t>
    </r>
    <r>
      <rPr>
        <sz val="11"/>
        <color theme="1"/>
        <rFont val="Calibri"/>
        <family val="2"/>
        <charset val="1"/>
      </rPr>
      <t xml:space="preserve">)</t>
    </r>
  </si>
  <si>
    <t xml:space="preserve">Phillips 66</t>
  </si>
  <si>
    <t xml:space="preserve">PSX</t>
  </si>
  <si>
    <r>
      <rPr>
        <sz val="11"/>
        <color theme="1"/>
        <rFont val="WenQuanYi Zen Hei"/>
        <family val="2"/>
      </rPr>
      <t xml:space="preserve">석유 정제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화학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미드스트림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마케팅</t>
    </r>
  </si>
  <si>
    <t xml:space="preserve">Occidental Petroleum</t>
  </si>
  <si>
    <t xml:space="preserve">OXY</t>
  </si>
  <si>
    <r>
      <rPr>
        <sz val="11"/>
        <color theme="1"/>
        <rFont val="WenQuanYi Zen Hei"/>
        <family val="2"/>
      </rPr>
      <t xml:space="preserve">원유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 및 화학</t>
    </r>
    <r>
      <rPr>
        <sz val="11"/>
        <color theme="1"/>
        <rFont val="Calibri"/>
        <family val="2"/>
        <charset val="1"/>
      </rPr>
      <t xml:space="preserve">(OxyChem)</t>
    </r>
  </si>
  <si>
    <t xml:space="preserve">Marathon Petroleum</t>
  </si>
  <si>
    <t xml:space="preserve">MPC</t>
  </si>
  <si>
    <r>
      <rPr>
        <sz val="11"/>
        <color theme="1"/>
        <rFont val="WenQuanYi Zen Hei"/>
        <family val="2"/>
      </rPr>
      <t xml:space="preserve">석유 정제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마케팅 및 미드스트림</t>
    </r>
    <r>
      <rPr>
        <sz val="11"/>
        <color theme="1"/>
        <rFont val="Calibri"/>
        <family val="2"/>
        <charset val="1"/>
      </rPr>
      <t xml:space="preserve">(MPLX)</t>
    </r>
  </si>
  <si>
    <r>
      <rPr>
        <sz val="11"/>
        <color theme="1"/>
        <rFont val="Calibri"/>
        <family val="2"/>
        <charset val="1"/>
      </rPr>
      <t xml:space="preserve">QoQ </t>
    </r>
    <r>
      <rPr>
        <sz val="11"/>
        <color theme="1"/>
        <rFont val="WenQuanYi Zen Hei"/>
        <family val="2"/>
      </rPr>
      <t xml:space="preserve">가속</t>
    </r>
  </si>
  <si>
    <t xml:space="preserve">Sandisk</t>
  </si>
  <si>
    <t xml:space="preserve">SNDK</t>
  </si>
  <si>
    <r>
      <rPr>
        <sz val="11"/>
        <color theme="1"/>
        <rFont val="WenQuanYi Zen Hei"/>
        <family val="2"/>
      </rPr>
      <t xml:space="preserve">낸드 플래시 메모리</t>
    </r>
    <r>
      <rPr>
        <sz val="11"/>
        <color theme="1"/>
        <rFont val="Calibri"/>
        <family val="2"/>
        <charset val="1"/>
      </rPr>
      <t xml:space="preserve">·SSD </t>
    </r>
    <r>
      <rPr>
        <sz val="11"/>
        <color theme="1"/>
        <rFont val="WenQuanYi Zen Hei"/>
        <family val="2"/>
      </rPr>
      <t xml:space="preserve">등 데이터 저장장치 제조 </t>
    </r>
    <r>
      <rPr>
        <sz val="11"/>
        <color theme="1"/>
        <rFont val="Calibri"/>
        <family val="2"/>
        <charset val="1"/>
      </rPr>
      <t xml:space="preserve">(WD</t>
    </r>
    <r>
      <rPr>
        <sz val="11"/>
        <color theme="1"/>
        <rFont val="WenQuanYi Zen Hei"/>
        <family val="2"/>
      </rPr>
      <t xml:space="preserve">에서 분사</t>
    </r>
    <r>
      <rPr>
        <sz val="11"/>
        <color theme="1"/>
        <rFont val="Calibri"/>
        <family val="2"/>
        <charset val="1"/>
      </rPr>
      <t xml:space="preserve">)</t>
    </r>
  </si>
  <si>
    <t xml:space="preserve">CRH plc</t>
  </si>
  <si>
    <t xml:space="preserve">CRH</t>
  </si>
  <si>
    <r>
      <rPr>
        <sz val="11"/>
        <color theme="1"/>
        <rFont val="WenQuanYi Zen Hei"/>
        <family val="2"/>
      </rPr>
      <t xml:space="preserve">골재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시멘트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아스팔트 등 건설자재</t>
    </r>
  </si>
  <si>
    <t xml:space="preserve">Materials</t>
  </si>
  <si>
    <t xml:space="preserve">Martin Marietta Materials</t>
  </si>
  <si>
    <t xml:space="preserve">MLM</t>
  </si>
  <si>
    <r>
      <rPr>
        <sz val="11"/>
        <color theme="1"/>
        <rFont val="WenQuanYi Zen Hei"/>
        <family val="2"/>
      </rPr>
      <t xml:space="preserve">골재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시멘트 등 건설자재</t>
    </r>
  </si>
  <si>
    <t xml:space="preserve">Bloom Energy</t>
  </si>
  <si>
    <t xml:space="preserve">BE</t>
  </si>
  <si>
    <t xml:space="preserve">흑자전환</t>
  </si>
  <si>
    <r>
      <rPr>
        <sz val="11"/>
        <color theme="1"/>
        <rFont val="WenQuanYi Zen Hei"/>
        <family val="2"/>
      </rPr>
      <t xml:space="preserve">고체산화물 연료전지 기반 현장 발전 시스템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데이터센터 전력 공급</t>
    </r>
    <r>
      <rPr>
        <sz val="11"/>
        <color theme="1"/>
        <rFont val="Calibri"/>
        <family val="2"/>
        <charset val="1"/>
      </rPr>
      <t xml:space="preserve">)</t>
    </r>
  </si>
  <si>
    <t xml:space="preserve">Chevron Corporation</t>
  </si>
  <si>
    <t xml:space="preserve">CVX</t>
  </si>
  <si>
    <r>
      <rPr>
        <sz val="11"/>
        <color theme="1"/>
        <rFont val="WenQuanYi Zen Hei"/>
        <family val="2"/>
      </rPr>
      <t xml:space="preserve">석유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 및 정제 통합 에너지</t>
    </r>
  </si>
  <si>
    <t xml:space="preserve">Blackstone Inc.</t>
  </si>
  <si>
    <t xml:space="preserve">BX</t>
  </si>
  <si>
    <r>
      <rPr>
        <sz val="11"/>
        <color theme="1"/>
        <rFont val="WenQuanYi Zen Hei"/>
        <family val="2"/>
      </rPr>
      <t xml:space="preserve">사모펀드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부동산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신용 대체자산 운용</t>
    </r>
  </si>
  <si>
    <t xml:space="preserve">ExxonMobil</t>
  </si>
  <si>
    <t xml:space="preserve">XOM</t>
  </si>
  <si>
    <r>
      <rPr>
        <sz val="11"/>
        <color theme="1"/>
        <rFont val="WenQuanYi Zen Hei"/>
        <family val="2"/>
      </rPr>
      <t xml:space="preserve">석유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정제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화학 통합 에너지</t>
    </r>
  </si>
  <si>
    <t xml:space="preserve">Valero Energy</t>
  </si>
  <si>
    <t xml:space="preserve">VLO</t>
  </si>
  <si>
    <r>
      <rPr>
        <sz val="11"/>
        <color theme="1"/>
        <rFont val="WenQuanYi Zen Hei"/>
        <family val="2"/>
      </rPr>
      <t xml:space="preserve">석유 정제 및 재생연료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에탄올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재생디젤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생산</t>
    </r>
  </si>
  <si>
    <t xml:space="preserve">Lennox International</t>
  </si>
  <si>
    <t xml:space="preserve">LII</t>
  </si>
  <si>
    <r>
      <rPr>
        <sz val="11"/>
        <color theme="1"/>
        <rFont val="WenQuanYi Zen Hei"/>
        <family val="2"/>
      </rPr>
      <t xml:space="preserve">주거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상업용 냉난방공조</t>
    </r>
    <r>
      <rPr>
        <sz val="11"/>
        <color theme="1"/>
        <rFont val="Calibri"/>
        <family val="2"/>
        <charset val="1"/>
      </rPr>
      <t xml:space="preserve">(HVAC) </t>
    </r>
    <r>
      <rPr>
        <sz val="11"/>
        <color theme="1"/>
        <rFont val="WenQuanYi Zen Hei"/>
        <family val="2"/>
      </rPr>
      <t xml:space="preserve">설비</t>
    </r>
  </si>
  <si>
    <t xml:space="preserve">Airbnb</t>
  </si>
  <si>
    <t xml:space="preserve">ABNB</t>
  </si>
  <si>
    <r>
      <rPr>
        <sz val="11"/>
        <color theme="1"/>
        <rFont val="WenQuanYi Zen Hei"/>
        <family val="2"/>
      </rPr>
      <t xml:space="preserve">숙박 공유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체험 예약 플랫폼</t>
    </r>
  </si>
  <si>
    <t xml:space="preserve">Eversource Energy</t>
  </si>
  <si>
    <t xml:space="preserve">ES</t>
  </si>
  <si>
    <t xml:space="preserve">2026-03-31</t>
  </si>
  <si>
    <r>
      <rPr>
        <sz val="11"/>
        <color theme="1"/>
        <rFont val="WenQuanYi Zen Hei"/>
        <family val="2"/>
      </rPr>
      <t xml:space="preserve">뉴잉글랜드 지역 전력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수도 유틸리티</t>
    </r>
  </si>
  <si>
    <t xml:space="preserve">Utilities</t>
  </si>
  <si>
    <t xml:space="preserve">Broadcom</t>
  </si>
  <si>
    <t xml:space="preserve">AVGO</t>
  </si>
  <si>
    <r>
      <rPr>
        <sz val="11"/>
        <color theme="1"/>
        <rFont val="WenQuanYi Zen Hei"/>
        <family val="2"/>
      </rPr>
      <t xml:space="preserve">네트워크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맞춤형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반도체 및 인프라 소프트웨어</t>
    </r>
    <r>
      <rPr>
        <sz val="11"/>
        <color theme="1"/>
        <rFont val="Calibri"/>
        <family val="2"/>
        <charset val="1"/>
      </rPr>
      <t xml:space="preserve">(VMware)</t>
    </r>
  </si>
  <si>
    <t xml:space="preserve">KKR &amp; Co.</t>
  </si>
  <si>
    <t xml:space="preserve">KKR</t>
  </si>
  <si>
    <r>
      <rPr>
        <sz val="11"/>
        <color theme="1"/>
        <rFont val="WenQuanYi Zen Hei"/>
        <family val="2"/>
      </rPr>
      <t xml:space="preserve">사모펀드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인프라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신용 대체자산 운용 및 보험</t>
    </r>
  </si>
  <si>
    <t xml:space="preserve">Booking Holdings</t>
  </si>
  <si>
    <t xml:space="preserve">BKNG</t>
  </si>
  <si>
    <r>
      <rPr>
        <sz val="11"/>
        <color theme="1"/>
        <rFont val="WenQuanYi Zen Hei"/>
        <family val="2"/>
      </rPr>
      <t xml:space="preserve">온라인 숙박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여행 예약 </t>
    </r>
    <r>
      <rPr>
        <sz val="11"/>
        <color theme="1"/>
        <rFont val="Calibri"/>
        <family val="2"/>
        <charset val="1"/>
      </rPr>
      <t xml:space="preserve">(Booking.com·Priceline)</t>
    </r>
  </si>
  <si>
    <t xml:space="preserve">Incyte</t>
  </si>
  <si>
    <t xml:space="preserve">INCY</t>
  </si>
  <si>
    <r>
      <rPr>
        <sz val="11"/>
        <color theme="1"/>
        <rFont val="WenQuanYi Zen Hei"/>
        <family val="2"/>
      </rPr>
      <t xml:space="preserve">항암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면역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피부질환 치료제 바이오제약</t>
    </r>
  </si>
  <si>
    <t xml:space="preserve">Health Care</t>
  </si>
  <si>
    <t xml:space="preserve">Diamondback Energy</t>
  </si>
  <si>
    <t xml:space="preserve">FANG</t>
  </si>
  <si>
    <r>
      <rPr>
        <sz val="11"/>
        <color theme="1"/>
        <rFont val="WenQuanYi Zen Hei"/>
        <family val="2"/>
      </rPr>
      <t xml:space="preserve">퍼미안 분지 원유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천연가스 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</t>
    </r>
  </si>
  <si>
    <t xml:space="preserve">Waters Corporation</t>
  </si>
  <si>
    <t xml:space="preserve">WAT</t>
  </si>
  <si>
    <t xml:space="preserve">적자전환</t>
  </si>
  <si>
    <r>
      <rPr>
        <sz val="11"/>
        <color theme="1"/>
        <rFont val="WenQuanYi Zen Hei"/>
        <family val="2"/>
      </rPr>
      <t xml:space="preserve">액체크로마토그래피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질량분석 등 분석기기 및 소프트웨어</t>
    </r>
  </si>
  <si>
    <t xml:space="preserve">Berkshire Hathaway</t>
  </si>
  <si>
    <t xml:space="preserve">BRK-B</t>
  </si>
  <si>
    <r>
      <rPr>
        <sz val="11"/>
        <color theme="1"/>
        <rFont val="WenQuanYi Zen Hei"/>
        <family val="2"/>
      </rPr>
      <t xml:space="preserve">보험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철도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에너지 유틸리티 등 복합 지주회사</t>
    </r>
  </si>
  <si>
    <t xml:space="preserve">Trane Technologies</t>
  </si>
  <si>
    <t xml:space="preserve">TT</t>
  </si>
  <si>
    <r>
      <rPr>
        <sz val="11"/>
        <color theme="1"/>
        <rFont val="WenQuanYi Zen Hei"/>
        <family val="2"/>
      </rPr>
      <t xml:space="preserve">상업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주거용 냉난방공조</t>
    </r>
    <r>
      <rPr>
        <sz val="11"/>
        <color theme="1"/>
        <rFont val="Calibri"/>
        <family val="2"/>
        <charset val="1"/>
      </rPr>
      <t xml:space="preserve">(HVAC) </t>
    </r>
    <r>
      <rPr>
        <sz val="11"/>
        <color theme="1"/>
        <rFont val="WenQuanYi Zen Hei"/>
        <family val="2"/>
      </rPr>
      <t xml:space="preserve">및 운송 냉장</t>
    </r>
  </si>
  <si>
    <t xml:space="preserve">LyondellBasell</t>
  </si>
  <si>
    <t xml:space="preserve">LYB</t>
  </si>
  <si>
    <t xml:space="preserve">폴리올레핀 등 석유화학 제품</t>
  </si>
  <si>
    <t xml:space="preserve">Constellation Brands</t>
  </si>
  <si>
    <t xml:space="preserve">STZ</t>
  </si>
  <si>
    <r>
      <rPr>
        <sz val="11"/>
        <color theme="1"/>
        <rFont val="WenQuanYi Zen Hei"/>
        <family val="2"/>
      </rPr>
      <t xml:space="preserve">수입 맥주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모델로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와인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증류주</t>
    </r>
  </si>
  <si>
    <t xml:space="preserve">Pinnacle West Capital</t>
  </si>
  <si>
    <t xml:space="preserve">PNW</t>
  </si>
  <si>
    <t xml:space="preserve">애리조나주 전력 유틸리티</t>
  </si>
  <si>
    <t xml:space="preserve">Tractor Supply</t>
  </si>
  <si>
    <t xml:space="preserve">TSCO</t>
  </si>
  <si>
    <r>
      <rPr>
        <sz val="11"/>
        <color theme="1"/>
        <rFont val="WenQuanYi Zen Hei"/>
        <family val="2"/>
      </rPr>
      <t xml:space="preserve">농촌 생활용품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반려동물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가축용품 소매</t>
    </r>
  </si>
  <si>
    <t xml:space="preserve">Tesla, Inc.</t>
  </si>
  <si>
    <t xml:space="preserve">TSLA</t>
  </si>
  <si>
    <r>
      <rPr>
        <sz val="11"/>
        <color theme="1"/>
        <rFont val="WenQuanYi Zen Hei"/>
        <family val="2"/>
      </rPr>
      <t xml:space="preserve">전기차 및 에너지 저장장치</t>
    </r>
    <r>
      <rPr>
        <sz val="11"/>
        <color theme="1"/>
        <rFont val="Calibri"/>
        <family val="2"/>
        <charset val="1"/>
      </rPr>
      <t xml:space="preserve">(ESS)·</t>
    </r>
    <r>
      <rPr>
        <sz val="11"/>
        <color theme="1"/>
        <rFont val="WenQuanYi Zen Hei"/>
        <family val="2"/>
      </rPr>
      <t xml:space="preserve">태양광</t>
    </r>
  </si>
  <si>
    <t xml:space="preserve">Expedia Group</t>
  </si>
  <si>
    <t xml:space="preserve">EXPE</t>
  </si>
  <si>
    <t xml:space="preserve">온라인 여행 예약 플랫폼</t>
  </si>
  <si>
    <t xml:space="preserve">Expeditors International</t>
  </si>
  <si>
    <t xml:space="preserve">EXPD</t>
  </si>
  <si>
    <r>
      <rPr>
        <sz val="11"/>
        <color theme="1"/>
        <rFont val="WenQuanYi Zen Hei"/>
        <family val="2"/>
      </rPr>
      <t xml:space="preserve">항공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해상 화물 포워딩 및 통관 물류</t>
    </r>
  </si>
  <si>
    <t xml:space="preserve">EOG Resources</t>
  </si>
  <si>
    <t xml:space="preserve">EOG</t>
  </si>
  <si>
    <r>
      <rPr>
        <sz val="11"/>
        <color theme="1"/>
        <rFont val="WenQuanYi Zen Hei"/>
        <family val="2"/>
      </rPr>
      <t xml:space="preserve">미국 원유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천연가스 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</t>
    </r>
  </si>
  <si>
    <t xml:space="preserve">Corteva</t>
  </si>
  <si>
    <t xml:space="preserve">CTVA</t>
  </si>
  <si>
    <r>
      <rPr>
        <sz val="11"/>
        <color theme="1"/>
        <rFont val="WenQuanYi Zen Hei"/>
        <family val="2"/>
      </rPr>
      <t xml:space="preserve">종자 및 작물보호제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농약</t>
    </r>
    <r>
      <rPr>
        <sz val="11"/>
        <color theme="1"/>
        <rFont val="Calibri"/>
        <family val="2"/>
        <charset val="1"/>
      </rPr>
      <t xml:space="preserve">)</t>
    </r>
  </si>
  <si>
    <t xml:space="preserve">Oneok</t>
  </si>
  <si>
    <t xml:space="preserve">OKE</t>
  </si>
  <si>
    <r>
      <rPr>
        <sz val="11"/>
        <color theme="1"/>
        <rFont val="WenQuanYi Zen Hei"/>
        <family val="2"/>
      </rPr>
      <t xml:space="preserve">천연가스</t>
    </r>
    <r>
      <rPr>
        <sz val="11"/>
        <color theme="1"/>
        <rFont val="Calibri"/>
        <family val="2"/>
        <charset val="1"/>
      </rPr>
      <t xml:space="preserve">·NGL </t>
    </r>
    <r>
      <rPr>
        <sz val="11"/>
        <color theme="1"/>
        <rFont val="WenQuanYi Zen Hei"/>
        <family val="2"/>
      </rPr>
      <t xml:space="preserve">수집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처리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수송 미드스트림</t>
    </r>
  </si>
  <si>
    <t xml:space="preserve">Delta Air Lines</t>
  </si>
  <si>
    <t xml:space="preserve">DAL</t>
  </si>
  <si>
    <r>
      <rPr>
        <sz val="11"/>
        <color theme="1"/>
        <rFont val="WenQuanYi Zen Hei"/>
        <family val="2"/>
      </rPr>
      <t xml:space="preserve">미국 대형 항공사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여객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화물</t>
    </r>
    <r>
      <rPr>
        <sz val="11"/>
        <color theme="1"/>
        <rFont val="Calibri"/>
        <family val="2"/>
        <charset val="1"/>
      </rPr>
      <t xml:space="preserve">)</t>
    </r>
  </si>
  <si>
    <t xml:space="preserve">Lumentum</t>
  </si>
  <si>
    <t xml:space="preserve">LITE</t>
  </si>
  <si>
    <r>
      <rPr>
        <sz val="11"/>
        <color theme="1"/>
        <rFont val="WenQuanYi Zen Hei"/>
        <family val="2"/>
      </rPr>
      <t xml:space="preserve">광통신 부품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레이저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데이터센터용 광트랜시버</t>
    </r>
    <r>
      <rPr>
        <sz val="11"/>
        <color theme="1"/>
        <rFont val="Calibri"/>
        <family val="2"/>
        <charset val="1"/>
      </rPr>
      <t xml:space="preserve">)</t>
    </r>
  </si>
  <si>
    <t xml:space="preserve">PepsiCo</t>
  </si>
  <si>
    <t xml:space="preserve">PEP</t>
  </si>
  <si>
    <r>
      <rPr>
        <sz val="11"/>
        <color theme="1"/>
        <rFont val="WenQuanYi Zen Hei"/>
        <family val="2"/>
      </rPr>
      <t xml:space="preserve">음료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펩시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및 스낵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프리토레이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식품</t>
    </r>
  </si>
  <si>
    <t xml:space="preserve">Casey's</t>
  </si>
  <si>
    <t xml:space="preserve">CASY</t>
  </si>
  <si>
    <r>
      <rPr>
        <sz val="11"/>
        <color theme="1"/>
        <rFont val="WenQuanYi Zen Hei"/>
        <family val="2"/>
      </rPr>
      <t xml:space="preserve">미국 중서부 편의점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주유소 체인</t>
    </r>
  </si>
  <si>
    <t xml:space="preserve">NVR, Inc.</t>
  </si>
  <si>
    <t xml:space="preserve">NVR</t>
  </si>
  <si>
    <t xml:space="preserve">미국 주택건설업체 및 모기지 금융</t>
  </si>
  <si>
    <t xml:space="preserve">Vertiv</t>
  </si>
  <si>
    <t xml:space="preserve">VRT</t>
  </si>
  <si>
    <r>
      <rPr>
        <sz val="11"/>
        <color theme="1"/>
        <rFont val="WenQuanYi Zen Hei"/>
        <family val="2"/>
      </rPr>
      <t xml:space="preserve">데이터센터 전력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냉각 인프라 장비</t>
    </r>
  </si>
  <si>
    <t xml:space="preserve">Dow Inc.</t>
  </si>
  <si>
    <t xml:space="preserve">DOW</t>
  </si>
  <si>
    <r>
      <rPr>
        <sz val="11"/>
        <color theme="1"/>
        <rFont val="WenQuanYi Zen Hei"/>
        <family val="2"/>
      </rPr>
      <t xml:space="preserve">플라스틱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산업용 중간재 등 소재화학</t>
    </r>
  </si>
  <si>
    <t xml:space="preserve">Vulcan Materials Company</t>
  </si>
  <si>
    <t xml:space="preserve">VMC</t>
  </si>
  <si>
    <r>
      <rPr>
        <sz val="11"/>
        <color theme="1"/>
        <rFont val="WenQuanYi Zen Hei"/>
        <family val="2"/>
      </rPr>
      <t xml:space="preserve">골재 등 건설자재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미국 최대 골재 생산</t>
    </r>
    <r>
      <rPr>
        <sz val="11"/>
        <color theme="1"/>
        <rFont val="Calibri"/>
        <family val="2"/>
        <charset val="1"/>
      </rPr>
      <t xml:space="preserve">)</t>
    </r>
  </si>
  <si>
    <t xml:space="preserve">Robinhood Markets</t>
  </si>
  <si>
    <t xml:space="preserve">HOOD</t>
  </si>
  <si>
    <r>
      <rPr>
        <sz val="11"/>
        <color theme="1"/>
        <rFont val="WenQuanYi Zen Hei"/>
        <family val="2"/>
      </rPr>
      <t xml:space="preserve">모바일 주식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옵션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암호화폐 거래 플랫폼</t>
    </r>
  </si>
  <si>
    <t xml:space="preserve">Ameren</t>
  </si>
  <si>
    <t xml:space="preserve">AEE</t>
  </si>
  <si>
    <r>
      <rPr>
        <sz val="11"/>
        <color theme="1"/>
        <rFont val="WenQuanYi Zen Hei"/>
        <family val="2"/>
      </rPr>
      <t xml:space="preserve">미주리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일리노이 전력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유틸리티</t>
    </r>
  </si>
  <si>
    <t xml:space="preserve">D. R. Horton</t>
  </si>
  <si>
    <t xml:space="preserve">DHI</t>
  </si>
  <si>
    <t xml:space="preserve">미국 최대 주택건설업체</t>
  </si>
  <si>
    <t xml:space="preserve">Albemarle Corporation</t>
  </si>
  <si>
    <t xml:space="preserve">ALB</t>
  </si>
  <si>
    <t xml:space="preserve">리튬 등 배터리 소재 및 특수화학</t>
  </si>
  <si>
    <t xml:space="preserve">Monolithic Power Systems</t>
  </si>
  <si>
    <t xml:space="preserve">MPWR</t>
  </si>
  <si>
    <r>
      <rPr>
        <sz val="11"/>
        <color theme="1"/>
        <rFont val="WenQuanYi Zen Hei"/>
        <family val="2"/>
      </rPr>
      <t xml:space="preserve">전력관리 반도체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전원 </t>
    </r>
    <r>
      <rPr>
        <sz val="11"/>
        <color theme="1"/>
        <rFont val="Calibri"/>
        <family val="2"/>
        <charset val="1"/>
      </rPr>
      <t xml:space="preserve">IC) </t>
    </r>
    <r>
      <rPr>
        <sz val="11"/>
        <color theme="1"/>
        <rFont val="WenQuanYi Zen Hei"/>
        <family val="2"/>
      </rPr>
      <t xml:space="preserve">설계</t>
    </r>
  </si>
  <si>
    <t xml:space="preserve">ConocoPhillips</t>
  </si>
  <si>
    <t xml:space="preserve">COP</t>
  </si>
  <si>
    <r>
      <rPr>
        <sz val="11"/>
        <color theme="1"/>
        <rFont val="WenQuanYi Zen Hei"/>
        <family val="2"/>
      </rPr>
      <t xml:space="preserve">원유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천연가스</t>
    </r>
    <r>
      <rPr>
        <sz val="11"/>
        <color theme="1"/>
        <rFont val="Calibri"/>
        <family val="2"/>
        <charset val="1"/>
      </rPr>
      <t xml:space="preserve">·LNG </t>
    </r>
    <r>
      <rPr>
        <sz val="11"/>
        <color theme="1"/>
        <rFont val="WenQuanYi Zen Hei"/>
        <family val="2"/>
      </rPr>
      <t xml:space="preserve">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생산</t>
    </r>
  </si>
  <si>
    <t xml:space="preserve">Quanta Services</t>
  </si>
  <si>
    <t xml:space="preserve">PWR</t>
  </si>
  <si>
    <r>
      <rPr>
        <sz val="11"/>
        <color theme="1"/>
        <rFont val="WenQuanYi Zen Hei"/>
        <family val="2"/>
      </rPr>
      <t xml:space="preserve">전력망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통신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인프라 설계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시공</t>
    </r>
  </si>
  <si>
    <t xml:space="preserve">Reddit</t>
  </si>
  <si>
    <t xml:space="preserve">RDDT</t>
  </si>
  <si>
    <r>
      <rPr>
        <sz val="11"/>
        <color theme="1"/>
        <rFont val="WenQuanYi Zen Hei"/>
        <family val="2"/>
      </rPr>
      <t xml:space="preserve">온라인 커뮤니티 플랫폼 레딧 운영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광고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데이터 라이선스</t>
    </r>
    <r>
      <rPr>
        <sz val="11"/>
        <color theme="1"/>
        <rFont val="Calibri"/>
        <family val="2"/>
        <charset val="1"/>
      </rPr>
      <t xml:space="preserve">)</t>
    </r>
  </si>
  <si>
    <t xml:space="preserve">United Airlines Holdings</t>
  </si>
  <si>
    <t xml:space="preserve">UAL</t>
  </si>
  <si>
    <r>
      <rPr>
        <sz val="11"/>
        <color theme="1"/>
        <rFont val="WenQuanYi Zen Hei"/>
        <family val="2"/>
      </rPr>
      <t xml:space="preserve">미국 대형 항공사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국제선 중심</t>
    </r>
    <r>
      <rPr>
        <sz val="11"/>
        <color theme="1"/>
        <rFont val="Calibri"/>
        <family val="2"/>
        <charset val="1"/>
      </rPr>
      <t xml:space="preserve">)</t>
    </r>
  </si>
  <si>
    <t xml:space="preserve">Lennar</t>
  </si>
  <si>
    <t xml:space="preserve">LEN</t>
  </si>
  <si>
    <t xml:space="preserve">미국 주택건설업체</t>
  </si>
  <si>
    <t xml:space="preserve">Sherwin-Williams</t>
  </si>
  <si>
    <t xml:space="preserve">SHW</t>
  </si>
  <si>
    <r>
      <rPr>
        <sz val="11"/>
        <color theme="1"/>
        <rFont val="WenQuanYi Zen Hei"/>
        <family val="2"/>
      </rPr>
      <t xml:space="preserve">페인트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코팅 제조 및 직영 매장 판매</t>
    </r>
  </si>
  <si>
    <t xml:space="preserve">Regeneron Pharmaceuticals</t>
  </si>
  <si>
    <t xml:space="preserve">REGN</t>
  </si>
  <si>
    <r>
      <rPr>
        <sz val="11"/>
        <color theme="1"/>
        <rFont val="WenQuanYi Zen Hei"/>
        <family val="2"/>
      </rPr>
      <t xml:space="preserve">안과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면역질환 항체의약품 바이오제약</t>
    </r>
  </si>
  <si>
    <t xml:space="preserve">Rollins, Inc.</t>
  </si>
  <si>
    <t xml:space="preserve">ROL</t>
  </si>
  <si>
    <r>
      <rPr>
        <sz val="11"/>
        <color theme="1"/>
        <rFont val="WenQuanYi Zen Hei"/>
        <family val="2"/>
      </rPr>
      <t xml:space="preserve">해충방제 서비스 </t>
    </r>
    <r>
      <rPr>
        <sz val="11"/>
        <color theme="1"/>
        <rFont val="Calibri"/>
        <family val="2"/>
        <charset val="1"/>
      </rPr>
      <t xml:space="preserve">(Orkin)</t>
    </r>
  </si>
  <si>
    <t xml:space="preserve">GE Vernova</t>
  </si>
  <si>
    <t xml:space="preserve">GEV</t>
  </si>
  <si>
    <r>
      <rPr>
        <sz val="11"/>
        <color theme="1"/>
        <rFont val="WenQuanYi Zen Hei"/>
        <family val="2"/>
      </rPr>
      <t xml:space="preserve">가스터빈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풍력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전력망 장비 </t>
    </r>
    <r>
      <rPr>
        <sz val="11"/>
        <color theme="1"/>
        <rFont val="Calibri"/>
        <family val="2"/>
        <charset val="1"/>
      </rPr>
      <t xml:space="preserve">(GE</t>
    </r>
    <r>
      <rPr>
        <sz val="11"/>
        <color theme="1"/>
        <rFont val="WenQuanYi Zen Hei"/>
        <family val="2"/>
      </rPr>
      <t xml:space="preserve">에서 분사</t>
    </r>
    <r>
      <rPr>
        <sz val="11"/>
        <color theme="1"/>
        <rFont val="Calibri"/>
        <family val="2"/>
        <charset val="1"/>
      </rPr>
      <t xml:space="preserve">)</t>
    </r>
  </si>
  <si>
    <t xml:space="preserve">Carrier Global</t>
  </si>
  <si>
    <t xml:space="preserve">CARR</t>
  </si>
  <si>
    <r>
      <rPr>
        <sz val="11"/>
        <color theme="1"/>
        <rFont val="WenQuanYi Zen Hei"/>
        <family val="2"/>
      </rPr>
      <t xml:space="preserve">냉난방공조</t>
    </r>
    <r>
      <rPr>
        <sz val="11"/>
        <color theme="1"/>
        <rFont val="Calibri"/>
        <family val="2"/>
        <charset val="1"/>
      </rPr>
      <t xml:space="preserve">(HVAC)·</t>
    </r>
    <r>
      <rPr>
        <sz val="11"/>
        <color theme="1"/>
        <rFont val="WenQuanYi Zen Hei"/>
        <family val="2"/>
      </rPr>
      <t xml:space="preserve">냉장 설비</t>
    </r>
  </si>
  <si>
    <t xml:space="preserve">Intel</t>
  </si>
  <si>
    <t xml:space="preserve">INTC</t>
  </si>
  <si>
    <r>
      <rPr>
        <sz val="11"/>
        <color theme="1"/>
        <rFont val="Calibri"/>
        <family val="2"/>
        <charset val="1"/>
      </rPr>
      <t xml:space="preserve">PC·</t>
    </r>
    <r>
      <rPr>
        <sz val="11"/>
        <color theme="1"/>
        <rFont val="WenQuanYi Zen Hei"/>
        <family val="2"/>
      </rPr>
      <t xml:space="preserve">서버용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반도체 및 파운드리</t>
    </r>
  </si>
  <si>
    <t xml:space="preserve">Palantir Technologies</t>
  </si>
  <si>
    <t xml:space="preserve">PLTR</t>
  </si>
  <si>
    <r>
      <rPr>
        <sz val="11"/>
        <color theme="1"/>
        <rFont val="WenQuanYi Zen Hei"/>
        <family val="2"/>
      </rPr>
      <t xml:space="preserve">정부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기업용 빅데이터 분석 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소프트웨어 플랫폼</t>
    </r>
  </si>
  <si>
    <t xml:space="preserve">Nasdaq, Inc.</t>
  </si>
  <si>
    <t xml:space="preserve">NDAQ</t>
  </si>
  <si>
    <r>
      <rPr>
        <sz val="11"/>
        <color theme="1"/>
        <rFont val="WenQuanYi Zen Hei"/>
        <family val="2"/>
      </rPr>
      <t xml:space="preserve">나스닥 거래소 운영 및 금융 소프트웨어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데이터</t>
    </r>
  </si>
  <si>
    <t xml:space="preserve">Amphenol</t>
  </si>
  <si>
    <t xml:space="preserve">APH</t>
  </si>
  <si>
    <r>
      <rPr>
        <sz val="11"/>
        <color theme="1"/>
        <rFont val="WenQuanYi Zen Hei"/>
        <family val="2"/>
      </rPr>
      <t xml:space="preserve">커넥터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케이블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센서 등 전자 연결 부품</t>
    </r>
  </si>
  <si>
    <t xml:space="preserve">Goldman Sachs</t>
  </si>
  <si>
    <t xml:space="preserve">GS</t>
  </si>
  <si>
    <r>
      <rPr>
        <sz val="11"/>
        <color theme="1"/>
        <rFont val="WenQuanYi Zen Hei"/>
        <family val="2"/>
      </rPr>
      <t xml:space="preserve">투자은행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트레이딩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자산운용</t>
    </r>
  </si>
  <si>
    <t xml:space="preserve">Caterpillar Inc.</t>
  </si>
  <si>
    <t xml:space="preserve">CAT</t>
  </si>
  <si>
    <r>
      <rPr>
        <sz val="11"/>
        <color theme="1"/>
        <rFont val="WenQuanYi Zen Hei"/>
        <family val="2"/>
      </rPr>
      <t xml:space="preserve">건설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광산 장비 및 엔진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발전 터빈</t>
    </r>
  </si>
  <si>
    <t xml:space="preserve">Nvidia</t>
  </si>
  <si>
    <t xml:space="preserve">NVDA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</si>
  <si>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가속기</t>
    </r>
    <r>
      <rPr>
        <sz val="11"/>
        <color theme="1"/>
        <rFont val="Calibri"/>
        <family val="2"/>
        <charset val="1"/>
      </rPr>
      <t xml:space="preserve">(GPU)·</t>
    </r>
    <r>
      <rPr>
        <sz val="11"/>
        <color theme="1"/>
        <rFont val="WenQuanYi Zen Hei"/>
        <family val="2"/>
      </rPr>
      <t xml:space="preserve">데이터센터 플랫폼 및 게이밍 </t>
    </r>
    <r>
      <rPr>
        <sz val="11"/>
        <color theme="1"/>
        <rFont val="Calibri"/>
        <family val="2"/>
        <charset val="1"/>
      </rPr>
      <t xml:space="preserve">GPU</t>
    </r>
  </si>
  <si>
    <t xml:space="preserve">Ferguson Enterprises</t>
  </si>
  <si>
    <t xml:space="preserve">FERG</t>
  </si>
  <si>
    <r>
      <rPr>
        <sz val="11"/>
        <color theme="1"/>
        <rFont val="WenQuanYi Zen Hei"/>
        <family val="2"/>
      </rPr>
      <t xml:space="preserve">배관</t>
    </r>
    <r>
      <rPr>
        <sz val="11"/>
        <color theme="1"/>
        <rFont val="Calibri"/>
        <family val="2"/>
        <charset val="1"/>
      </rPr>
      <t xml:space="preserve">·HVAC </t>
    </r>
    <r>
      <rPr>
        <sz val="11"/>
        <color theme="1"/>
        <rFont val="WenQuanYi Zen Hei"/>
        <family val="2"/>
      </rPr>
      <t xml:space="preserve">자재 유통</t>
    </r>
  </si>
  <si>
    <t xml:space="preserve">Steel Dynamics</t>
  </si>
  <si>
    <t xml:space="preserve">STLD</t>
  </si>
  <si>
    <r>
      <rPr>
        <sz val="11"/>
        <color theme="1"/>
        <rFont val="WenQuanYi Zen Hei"/>
        <family val="2"/>
      </rPr>
      <t xml:space="preserve">전기로 제강 및 금속 재활용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알루미늄 진출</t>
    </r>
    <r>
      <rPr>
        <sz val="11"/>
        <color theme="1"/>
        <rFont val="Calibri"/>
        <family val="2"/>
        <charset val="1"/>
      </rPr>
      <t xml:space="preserve">)</t>
    </r>
  </si>
  <si>
    <t xml:space="preserve">PulteGroup</t>
  </si>
  <si>
    <t xml:space="preserve">PHM</t>
  </si>
  <si>
    <t xml:space="preserve">Amgen</t>
  </si>
  <si>
    <t xml:space="preserve">AMGN</t>
  </si>
  <si>
    <r>
      <rPr>
        <sz val="11"/>
        <color theme="1"/>
        <rFont val="WenQuanYi Zen Hei"/>
        <family val="2"/>
      </rPr>
      <t xml:space="preserve">항암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골다공증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심혈관 바이오의약품</t>
    </r>
  </si>
  <si>
    <t xml:space="preserve">Clorox</t>
  </si>
  <si>
    <t xml:space="preserve">CLX</t>
  </si>
  <si>
    <r>
      <rPr>
        <sz val="11"/>
        <color theme="1"/>
        <rFont val="WenQuanYi Zen Hei"/>
        <family val="2"/>
      </rPr>
      <t xml:space="preserve">표백제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세제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생활용품 브랜드</t>
    </r>
  </si>
  <si>
    <t xml:space="preserve">Seagate Technology</t>
  </si>
  <si>
    <t xml:space="preserve">STX</t>
  </si>
  <si>
    <r>
      <rPr>
        <sz val="11"/>
        <color theme="1"/>
        <rFont val="WenQuanYi Zen Hei"/>
        <family val="2"/>
      </rPr>
      <t xml:space="preserve">하드디스크</t>
    </r>
    <r>
      <rPr>
        <sz val="11"/>
        <color theme="1"/>
        <rFont val="Calibri"/>
        <family val="2"/>
        <charset val="1"/>
      </rPr>
      <t xml:space="preserve">(HDD) </t>
    </r>
    <r>
      <rPr>
        <sz val="11"/>
        <color theme="1"/>
        <rFont val="WenQuanYi Zen Hei"/>
        <family val="2"/>
      </rPr>
      <t xml:space="preserve">등 데이터 저장장치</t>
    </r>
  </si>
  <si>
    <t xml:space="preserve">Old Dominion</t>
  </si>
  <si>
    <t xml:space="preserve">ODFL</t>
  </si>
  <si>
    <r>
      <rPr>
        <sz val="11"/>
        <color theme="1"/>
        <rFont val="WenQuanYi Zen Hei"/>
        <family val="2"/>
      </rPr>
      <t xml:space="preserve">미국 소량화물</t>
    </r>
    <r>
      <rPr>
        <sz val="11"/>
        <color theme="1"/>
        <rFont val="Calibri"/>
        <family val="2"/>
        <charset val="1"/>
      </rPr>
      <t xml:space="preserve">(LTL) </t>
    </r>
    <r>
      <rPr>
        <sz val="11"/>
        <color theme="1"/>
        <rFont val="WenQuanYi Zen Hei"/>
        <family val="2"/>
      </rPr>
      <t xml:space="preserve">트럭 운송</t>
    </r>
  </si>
  <si>
    <t xml:space="preserve">Southwest Airlines</t>
  </si>
  <si>
    <t xml:space="preserve">LUV</t>
  </si>
  <si>
    <t xml:space="preserve">미국 저비용 항공사</t>
  </si>
  <si>
    <t xml:space="preserve">DTE Energy</t>
  </si>
  <si>
    <t xml:space="preserve">DTE</t>
  </si>
  <si>
    <r>
      <rPr>
        <sz val="11"/>
        <color theme="1"/>
        <rFont val="WenQuanYi Zen Hei"/>
        <family val="2"/>
      </rPr>
      <t xml:space="preserve">미시간주 전력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유틸리티</t>
    </r>
  </si>
  <si>
    <t xml:space="preserve">Lilly (Eli)</t>
  </si>
  <si>
    <t xml:space="preserve">LLY</t>
  </si>
  <si>
    <r>
      <rPr>
        <sz val="11"/>
        <color theme="1"/>
        <rFont val="WenQuanYi Zen Hei"/>
        <family val="2"/>
      </rPr>
      <t xml:space="preserve">비만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당뇨 치료제</t>
    </r>
    <r>
      <rPr>
        <sz val="11"/>
        <color theme="1"/>
        <rFont val="Calibri"/>
        <family val="2"/>
        <charset val="1"/>
      </rPr>
      <t xml:space="preserve">(GLP-1) </t>
    </r>
    <r>
      <rPr>
        <sz val="11"/>
        <color theme="1"/>
        <rFont val="WenQuanYi Zen Hei"/>
        <family val="2"/>
      </rPr>
      <t xml:space="preserve">등 전문의약품</t>
    </r>
  </si>
  <si>
    <t xml:space="preserve">Norfolk Southern</t>
  </si>
  <si>
    <t xml:space="preserve">NSC</t>
  </si>
  <si>
    <t xml:space="preserve">미국 동부 화물 철도</t>
  </si>
  <si>
    <t xml:space="preserve">Motorola Solutions</t>
  </si>
  <si>
    <t xml:space="preserve">MSI</t>
  </si>
  <si>
    <r>
      <rPr>
        <sz val="11"/>
        <color theme="1"/>
        <rFont val="WenQuanYi Zen Hei"/>
        <family val="2"/>
      </rPr>
      <t xml:space="preserve">공공안전 무선통신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영상보안 솔루션</t>
    </r>
  </si>
  <si>
    <t xml:space="preserve">Garmin</t>
  </si>
  <si>
    <t xml:space="preserve">GRMN</t>
  </si>
  <si>
    <r>
      <rPr>
        <sz val="11"/>
        <color theme="1"/>
        <rFont val="Calibri"/>
        <family val="2"/>
        <charset val="1"/>
      </rPr>
      <t xml:space="preserve">GPS </t>
    </r>
    <r>
      <rPr>
        <sz val="11"/>
        <color theme="1"/>
        <rFont val="WenQuanYi Zen Hei"/>
        <family val="2"/>
      </rPr>
      <t xml:space="preserve">기반 웨어러블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항공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해양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차량용 기기</t>
    </r>
  </si>
  <si>
    <t xml:space="preserve">Lam Research</t>
  </si>
  <si>
    <t xml:space="preserve">LRCX</t>
  </si>
  <si>
    <r>
      <rPr>
        <sz val="11"/>
        <color theme="1"/>
        <rFont val="WenQuanYi Zen Hei"/>
        <family val="2"/>
      </rPr>
      <t xml:space="preserve">반도체 식각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증착 장비</t>
    </r>
  </si>
  <si>
    <t xml:space="preserve">Fifth Third Bancorp</t>
  </si>
  <si>
    <t xml:space="preserve">FITB</t>
  </si>
  <si>
    <r>
      <rPr>
        <sz val="11"/>
        <color theme="1"/>
        <rFont val="WenQuanYi Zen Hei"/>
        <family val="2"/>
      </rPr>
      <t xml:space="preserve">미국 중서부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남동부 지역은행</t>
    </r>
  </si>
  <si>
    <t xml:space="preserve">Carvana</t>
  </si>
  <si>
    <t xml:space="preserve">CVNA</t>
  </si>
  <si>
    <t xml:space="preserve">온라인 중고차 매매 플랫폼</t>
  </si>
  <si>
    <t xml:space="preserve">PPG Industries</t>
  </si>
  <si>
    <t xml:space="preserve">PPG</t>
  </si>
  <si>
    <r>
      <rPr>
        <sz val="11"/>
        <color theme="1"/>
        <rFont val="WenQuanYi Zen Hei"/>
        <family val="2"/>
      </rPr>
      <t xml:space="preserve">페인트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코팅 및 특수소재</t>
    </r>
  </si>
  <si>
    <t xml:space="preserve">Hewlett Packard Enterprise</t>
  </si>
  <si>
    <t xml:space="preserve">HPE</t>
  </si>
  <si>
    <r>
      <rPr>
        <sz val="11"/>
        <color theme="1"/>
        <rFont val="WenQuanYi Zen Hei"/>
        <family val="2"/>
      </rPr>
      <t xml:space="preserve">서버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스토리지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네트워크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주니퍼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기업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인프라</t>
    </r>
  </si>
  <si>
    <t xml:space="preserve">J.B. Hunt</t>
  </si>
  <si>
    <t xml:space="preserve">JBHT</t>
  </si>
  <si>
    <r>
      <rPr>
        <sz val="11"/>
        <color theme="1"/>
        <rFont val="WenQuanYi Zen Hei"/>
        <family val="2"/>
      </rPr>
      <t xml:space="preserve">트럭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철도 복합운송 및 전용 물류</t>
    </r>
  </si>
  <si>
    <t xml:space="preserve">Comfort Systems USA</t>
  </si>
  <si>
    <t xml:space="preserve">FIX</t>
  </si>
  <si>
    <r>
      <rPr>
        <sz val="11"/>
        <color theme="1"/>
        <rFont val="WenQuanYi Zen Hei"/>
        <family val="2"/>
      </rPr>
      <t xml:space="preserve">기계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전기 설비</t>
    </r>
    <r>
      <rPr>
        <sz val="11"/>
        <color theme="1"/>
        <rFont val="Calibri"/>
        <family val="2"/>
        <charset val="1"/>
      </rPr>
      <t xml:space="preserve">(HVAC) </t>
    </r>
    <r>
      <rPr>
        <sz val="11"/>
        <color theme="1"/>
        <rFont val="WenQuanYi Zen Hei"/>
        <family val="2"/>
      </rPr>
      <t xml:space="preserve">시공 및 유지보수</t>
    </r>
  </si>
  <si>
    <t xml:space="preserve">Hasbro</t>
  </si>
  <si>
    <t xml:space="preserve">HAS</t>
  </si>
  <si>
    <r>
      <rPr>
        <sz val="11"/>
        <color theme="1"/>
        <rFont val="WenQuanYi Zen Hei"/>
        <family val="2"/>
      </rPr>
      <t xml:space="preserve">완구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보드게임 및 디지털 게임</t>
    </r>
    <r>
      <rPr>
        <sz val="11"/>
        <color theme="1"/>
        <rFont val="Calibri"/>
        <family val="2"/>
        <charset val="1"/>
      </rPr>
      <t xml:space="preserve">(Wizards of the Coast)</t>
    </r>
  </si>
  <si>
    <t xml:space="preserve">Hilton Worldwide</t>
  </si>
  <si>
    <t xml:space="preserve">HLT</t>
  </si>
  <si>
    <r>
      <rPr>
        <sz val="11"/>
        <color theme="1"/>
        <rFont val="WenQuanYi Zen Hei"/>
        <family val="2"/>
      </rPr>
      <t xml:space="preserve">호텔 프랜차이즈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위탁운영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힐튼</t>
    </r>
    <r>
      <rPr>
        <sz val="11"/>
        <color theme="1"/>
        <rFont val="Calibri"/>
        <family val="2"/>
        <charset val="1"/>
      </rPr>
      <t xml:space="preserve">)</t>
    </r>
  </si>
  <si>
    <t xml:space="preserve">Broadridge Financial Solutions</t>
  </si>
  <si>
    <t xml:space="preserve">BR</t>
  </si>
  <si>
    <t xml:space="preserve">투자자 커뮤니케이션 및 증권사 백오피스 기술</t>
  </si>
  <si>
    <t xml:space="preserve">Palo Alto Networks</t>
  </si>
  <si>
    <t xml:space="preserve">PANW</t>
  </si>
  <si>
    <r>
      <rPr>
        <sz val="11"/>
        <color theme="1"/>
        <rFont val="WenQuanYi Zen Hei"/>
        <family val="2"/>
      </rPr>
      <t xml:space="preserve">네트워크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클라우드 사이버보안 솔루션</t>
    </r>
  </si>
  <si>
    <t xml:space="preserve">Norwegian Cruise Line Holdings</t>
  </si>
  <si>
    <t xml:space="preserve">NCLH</t>
  </si>
  <si>
    <t xml:space="preserve">크루즈 여행 선사</t>
  </si>
  <si>
    <t xml:space="preserve">AutoZone</t>
  </si>
  <si>
    <t xml:space="preserve">AZO</t>
  </si>
  <si>
    <r>
      <rPr>
        <sz val="11"/>
        <color theme="1"/>
        <rFont val="WenQuanYi Zen Hei"/>
        <family val="2"/>
      </rPr>
      <t xml:space="preserve">자동차 부품 소매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유통</t>
    </r>
  </si>
  <si>
    <t xml:space="preserve">AbbVie</t>
  </si>
  <si>
    <t xml:space="preserve">ABBV</t>
  </si>
  <si>
    <r>
      <rPr>
        <sz val="11"/>
        <color theme="1"/>
        <rFont val="WenQuanYi Zen Hei"/>
        <family val="2"/>
      </rPr>
      <t xml:space="preserve">면역질환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스카이리치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린버크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신경과학 치료제 제약</t>
    </r>
  </si>
  <si>
    <t xml:space="preserve">Microchip Technology</t>
  </si>
  <si>
    <t xml:space="preserve">MCHP</t>
  </si>
  <si>
    <r>
      <rPr>
        <sz val="11"/>
        <color theme="1"/>
        <rFont val="WenQuanYi Zen Hei"/>
        <family val="2"/>
      </rPr>
      <t xml:space="preserve">마이크로컨트롤러</t>
    </r>
    <r>
      <rPr>
        <sz val="11"/>
        <color theme="1"/>
        <rFont val="Calibri"/>
        <family val="2"/>
        <charset val="1"/>
      </rPr>
      <t xml:space="preserve">(MCU) </t>
    </r>
    <r>
      <rPr>
        <sz val="11"/>
        <color theme="1"/>
        <rFont val="WenQuanYi Zen Hei"/>
        <family val="2"/>
      </rPr>
      <t xml:space="preserve">등 임베디드 반도체</t>
    </r>
  </si>
  <si>
    <t xml:space="preserve">Interactive Brokers</t>
  </si>
  <si>
    <t xml:space="preserve">IBKR</t>
  </si>
  <si>
    <t xml:space="preserve">글로벌 온라인 증권 중개</t>
  </si>
  <si>
    <t xml:space="preserve">Texas Instruments</t>
  </si>
  <si>
    <t xml:space="preserve">TXN</t>
  </si>
  <si>
    <r>
      <rPr>
        <sz val="11"/>
        <color theme="1"/>
        <rFont val="WenQuanYi Zen Hei"/>
        <family val="2"/>
      </rPr>
      <t xml:space="preserve">아날로그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임베디드 반도체</t>
    </r>
  </si>
  <si>
    <t xml:space="preserve">CSX Corporation</t>
  </si>
  <si>
    <t xml:space="preserve">CSX</t>
  </si>
  <si>
    <t xml:space="preserve">Bristol Myers Squibb</t>
  </si>
  <si>
    <t xml:space="preserve">BMY</t>
  </si>
  <si>
    <r>
      <rPr>
        <sz val="11"/>
        <color theme="1"/>
        <rFont val="WenQuanYi Zen Hei"/>
        <family val="2"/>
      </rPr>
      <t xml:space="preserve">항암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면역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심혈관 전문의약품</t>
    </r>
  </si>
  <si>
    <t xml:space="preserve">Hubbell Incorporated</t>
  </si>
  <si>
    <t xml:space="preserve">HUBB</t>
  </si>
  <si>
    <r>
      <rPr>
        <sz val="11"/>
        <color theme="1"/>
        <rFont val="WenQuanYi Zen Hei"/>
        <family val="2"/>
      </rPr>
      <t xml:space="preserve">전력망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건축용 전기 설비 부품</t>
    </r>
  </si>
  <si>
    <t xml:space="preserve">Freeport-McMoRan</t>
  </si>
  <si>
    <t xml:space="preserve">FCX</t>
  </si>
  <si>
    <r>
      <rPr>
        <sz val="11"/>
        <color theme="1"/>
        <rFont val="WenQuanYi Zen Hei"/>
        <family val="2"/>
      </rPr>
      <t xml:space="preserve">구리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몰리브덴 광산</t>
    </r>
  </si>
  <si>
    <t xml:space="preserve">Everpure</t>
  </si>
  <si>
    <t xml:space="preserve">P</t>
  </si>
  <si>
    <r>
      <rPr>
        <sz val="11"/>
        <color theme="1"/>
        <rFont val="WenQuanYi Zen Hei"/>
        <family val="2"/>
      </rPr>
      <t xml:space="preserve">기업용 올플래시 데이터 스토리지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구 </t>
    </r>
    <r>
      <rPr>
        <sz val="11"/>
        <color theme="1"/>
        <rFont val="Calibri"/>
        <family val="2"/>
        <charset val="1"/>
      </rPr>
      <t xml:space="preserve">Pure Storage)</t>
    </r>
  </si>
  <si>
    <t xml:space="preserve">Cummins</t>
  </si>
  <si>
    <t xml:space="preserve">CMI</t>
  </si>
  <si>
    <r>
      <rPr>
        <sz val="11"/>
        <color theme="1"/>
        <rFont val="WenQuanYi Zen Hei"/>
        <family val="2"/>
      </rPr>
      <t xml:space="preserve">디젤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천연가스 엔진 및 발전기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동력 부품</t>
    </r>
  </si>
  <si>
    <t xml:space="preserve">Altria</t>
  </si>
  <si>
    <t xml:space="preserve">MO</t>
  </si>
  <si>
    <r>
      <rPr>
        <sz val="11"/>
        <color theme="1"/>
        <rFont val="WenQuanYi Zen Hei"/>
        <family val="2"/>
      </rPr>
      <t xml:space="preserve">미국 궐련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말보로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무연 니코틴 제품</t>
    </r>
  </si>
  <si>
    <t xml:space="preserve">Advanced Micro Devices</t>
  </si>
  <si>
    <t xml:space="preserve">AMD</t>
  </si>
  <si>
    <r>
      <rPr>
        <sz val="11"/>
        <color theme="1"/>
        <rFont val="Calibri"/>
        <family val="2"/>
        <charset val="1"/>
      </rPr>
      <t xml:space="preserve">CPU·GPU·AI </t>
    </r>
    <r>
      <rPr>
        <sz val="11"/>
        <color theme="1"/>
        <rFont val="WenQuanYi Zen Hei"/>
        <family val="2"/>
      </rPr>
      <t xml:space="preserve">가속기 등 반도체 설계</t>
    </r>
  </si>
  <si>
    <t xml:space="preserve">NextEra Energy</t>
  </si>
  <si>
    <t xml:space="preserve">NEE</t>
  </si>
  <si>
    <r>
      <rPr>
        <sz val="11"/>
        <color theme="1"/>
        <rFont val="WenQuanYi Zen Hei"/>
        <family val="2"/>
      </rPr>
      <t xml:space="preserve">플로리다 전력 유틸리티 및 풍력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태양광 발전</t>
    </r>
  </si>
  <si>
    <t xml:space="preserve">Western Digital</t>
  </si>
  <si>
    <t xml:space="preserve">WDC</t>
  </si>
  <si>
    <r>
      <rPr>
        <sz val="11"/>
        <color theme="1"/>
        <rFont val="WenQuanYi Zen Hei"/>
        <family val="2"/>
      </rPr>
      <t xml:space="preserve">하드디스크</t>
    </r>
    <r>
      <rPr>
        <sz val="11"/>
        <color theme="1"/>
        <rFont val="Calibri"/>
        <family val="2"/>
        <charset val="1"/>
      </rPr>
      <t xml:space="preserve">(HDD) </t>
    </r>
    <r>
      <rPr>
        <sz val="11"/>
        <color theme="1"/>
        <rFont val="WenQuanYi Zen Hei"/>
        <family val="2"/>
      </rPr>
      <t xml:space="preserve">데이터 저장장치</t>
    </r>
  </si>
  <si>
    <t xml:space="preserve">American Water Works</t>
  </si>
  <si>
    <t xml:space="preserve">AWK</t>
  </si>
  <si>
    <t xml:space="preserve">미국 최대 상하수도 유틸리티</t>
  </si>
  <si>
    <t xml:space="preserve">Gilead Sciences</t>
  </si>
  <si>
    <t xml:space="preserve">GILD</t>
  </si>
  <si>
    <r>
      <rPr>
        <sz val="11"/>
        <color theme="1"/>
        <rFont val="Calibri"/>
        <family val="2"/>
        <charset val="1"/>
      </rPr>
      <t xml:space="preserve">HIV·</t>
    </r>
    <r>
      <rPr>
        <sz val="11"/>
        <color theme="1"/>
        <rFont val="WenQuanYi Zen Hei"/>
        <family val="2"/>
      </rPr>
      <t xml:space="preserve">간질환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항암 치료제 바이오제약</t>
    </r>
  </si>
  <si>
    <t xml:space="preserve">Axon Enterprise</t>
  </si>
  <si>
    <t xml:space="preserve">AXON</t>
  </si>
  <si>
    <r>
      <rPr>
        <sz val="11"/>
        <color theme="1"/>
        <rFont val="WenQuanYi Zen Hei"/>
        <family val="2"/>
      </rPr>
      <t xml:space="preserve">테이저건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보디캠 및 경찰용 클라우드 소프트웨어</t>
    </r>
  </si>
  <si>
    <t xml:space="preserve">RTX Corporation</t>
  </si>
  <si>
    <t xml:space="preserve">RTX</t>
  </si>
  <si>
    <r>
      <rPr>
        <sz val="11"/>
        <color theme="1"/>
        <rFont val="WenQuanYi Zen Hei"/>
        <family val="2"/>
      </rPr>
      <t xml:space="preserve">항공엔진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프랫앤휘트니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방산 미사일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항공전자</t>
    </r>
  </si>
  <si>
    <t xml:space="preserve">CF Industries</t>
  </si>
  <si>
    <t xml:space="preserve">CF</t>
  </si>
  <si>
    <r>
      <rPr>
        <sz val="11"/>
        <color theme="1"/>
        <rFont val="WenQuanYi Zen Hei"/>
        <family val="2"/>
      </rPr>
      <t xml:space="preserve">암모니아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질소비료 생산</t>
    </r>
  </si>
  <si>
    <t xml:space="preserve">Global Payments</t>
  </si>
  <si>
    <t xml:space="preserve">GPN</t>
  </si>
  <si>
    <t xml:space="preserve">카드결제 처리 및 가맹점 결제 소프트웨어</t>
  </si>
  <si>
    <t xml:space="preserve">Ford Motor Company</t>
  </si>
  <si>
    <t xml:space="preserve">F</t>
  </si>
  <si>
    <r>
      <rPr>
        <sz val="11"/>
        <color theme="1"/>
        <rFont val="WenQuanYi Zen Hei"/>
        <family val="2"/>
      </rPr>
      <t xml:space="preserve">자동차 제조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포드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링컨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및 상용차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자동차 금융</t>
    </r>
  </si>
  <si>
    <t xml:space="preserve">Vertex Pharmaceuticals</t>
  </si>
  <si>
    <t xml:space="preserve">VRTX</t>
  </si>
  <si>
    <t xml:space="preserve">낭포성섬유증 등 희귀질환 치료제 바이오제약</t>
  </si>
  <si>
    <t xml:space="preserve">Datadog</t>
  </si>
  <si>
    <t xml:space="preserve">DDOG</t>
  </si>
  <si>
    <r>
      <rPr>
        <sz val="11"/>
        <color theme="1"/>
        <rFont val="WenQuanYi Zen Hei"/>
        <family val="2"/>
      </rPr>
      <t xml:space="preserve">클라우드 모니터링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보안 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WenQuanYi Zen Hei"/>
        <family val="2"/>
      </rPr>
      <t xml:space="preserve">플랫폼</t>
    </r>
  </si>
  <si>
    <t xml:space="preserve">Allegion</t>
  </si>
  <si>
    <t xml:space="preserve">ALLE</t>
  </si>
  <si>
    <r>
      <rPr>
        <sz val="11"/>
        <color theme="1"/>
        <rFont val="WenQuanYi Zen Hei"/>
        <family val="2"/>
      </rPr>
      <t xml:space="preserve">도어록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출입통제 보안제품</t>
    </r>
  </si>
  <si>
    <t xml:space="preserve">Emcor</t>
  </si>
  <si>
    <t xml:space="preserve">EME</t>
  </si>
  <si>
    <r>
      <rPr>
        <sz val="11"/>
        <color theme="1"/>
        <rFont val="WenQuanYi Zen Hei"/>
        <family val="2"/>
      </rPr>
      <t xml:space="preserve">전기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기계 설비 시공 및 시설관리 서비스</t>
    </r>
  </si>
  <si>
    <t xml:space="preserve">Paccar</t>
  </si>
  <si>
    <t xml:space="preserve">PCAR</t>
  </si>
  <si>
    <r>
      <rPr>
        <sz val="11"/>
        <color theme="1"/>
        <rFont val="WenQuanYi Zen Hei"/>
        <family val="2"/>
      </rPr>
      <t xml:space="preserve">대형 상용트럭 제조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켄워스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피터빌트</t>
    </r>
    <r>
      <rPr>
        <sz val="11"/>
        <color theme="1"/>
        <rFont val="Calibri"/>
        <family val="2"/>
        <charset val="1"/>
      </rPr>
      <t xml:space="preserve">·DAF)</t>
    </r>
  </si>
  <si>
    <t xml:space="preserve">Lockheed Martin</t>
  </si>
  <si>
    <t xml:space="preserve">LMT</t>
  </si>
  <si>
    <r>
      <rPr>
        <sz val="11"/>
        <color theme="1"/>
        <rFont val="WenQuanYi Zen Hei"/>
        <family val="2"/>
      </rPr>
      <t xml:space="preserve">전투기</t>
    </r>
    <r>
      <rPr>
        <sz val="11"/>
        <color theme="1"/>
        <rFont val="Calibri"/>
        <family val="2"/>
        <charset val="1"/>
      </rPr>
      <t xml:space="preserve">(F-35)·</t>
    </r>
    <r>
      <rPr>
        <sz val="11"/>
        <color theme="1"/>
        <rFont val="WenQuanYi Zen Hei"/>
        <family val="2"/>
      </rPr>
      <t xml:space="preserve">미사일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우주 방산</t>
    </r>
  </si>
  <si>
    <t xml:space="preserve">Alliant Energy</t>
  </si>
  <si>
    <t xml:space="preserve">LNT</t>
  </si>
  <si>
    <r>
      <rPr>
        <sz val="11"/>
        <color theme="1"/>
        <rFont val="WenQuanYi Zen Hei"/>
        <family val="2"/>
      </rPr>
      <t xml:space="preserve">아이오와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위스콘신 전력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가스 유틸리티</t>
    </r>
  </si>
  <si>
    <t xml:space="preserve">Analog Devices</t>
  </si>
  <si>
    <t xml:space="preserve">ADI</t>
  </si>
  <si>
    <r>
      <rPr>
        <sz val="11"/>
        <color theme="1"/>
        <rFont val="WenQuanYi Zen Hei"/>
        <family val="2"/>
      </rPr>
      <t xml:space="preserve">아날로그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혼성신호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전력 반도체</t>
    </r>
  </si>
  <si>
    <t xml:space="preserve">Ball Corporation</t>
  </si>
  <si>
    <t xml:space="preserve">BALL</t>
  </si>
  <si>
    <t xml:space="preserve">음료용 알루미늄 캔 포장재</t>
  </si>
  <si>
    <t xml:space="preserve">Ingersoll Rand</t>
  </si>
  <si>
    <t xml:space="preserve">IR</t>
  </si>
  <si>
    <r>
      <rPr>
        <sz val="11"/>
        <color theme="1"/>
        <rFont val="WenQuanYi Zen Hei"/>
        <family val="2"/>
      </rPr>
      <t xml:space="preserve">산업용 압축기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펌프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진공 장비</t>
    </r>
  </si>
  <si>
    <t xml:space="preserve">Gartner</t>
  </si>
  <si>
    <t xml:space="preserve">IT</t>
  </si>
  <si>
    <r>
      <rPr>
        <sz val="11"/>
        <color theme="1"/>
        <rFont val="Calibri"/>
        <family val="2"/>
        <charset val="1"/>
      </rPr>
      <t xml:space="preserve">IT·</t>
    </r>
    <r>
      <rPr>
        <sz val="11"/>
        <color theme="1"/>
        <rFont val="WenQuanYi Zen Hei"/>
        <family val="2"/>
      </rPr>
      <t xml:space="preserve">경영 리서치 및 자문</t>
    </r>
  </si>
  <si>
    <t xml:space="preserve">Generac</t>
  </si>
  <si>
    <t xml:space="preserve">GNRC</t>
  </si>
  <si>
    <r>
      <rPr>
        <sz val="11"/>
        <color theme="1"/>
        <rFont val="WenQuanYi Zen Hei"/>
        <family val="2"/>
      </rPr>
      <t xml:space="preserve">가정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상업용 비상발전기 및 에너지 저장</t>
    </r>
  </si>
  <si>
    <t xml:space="preserve">Fortinet</t>
  </si>
  <si>
    <t xml:space="preserve">FTNT</t>
  </si>
  <si>
    <r>
      <rPr>
        <sz val="11"/>
        <color theme="1"/>
        <rFont val="WenQuanYi Zen Hei"/>
        <family val="2"/>
      </rPr>
      <t xml:space="preserve">방화벽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네트워크 보안 장비 및 소프트웨어</t>
    </r>
  </si>
  <si>
    <t xml:space="preserve">Archer Daniels Midland</t>
  </si>
  <si>
    <t xml:space="preserve">ADM</t>
  </si>
  <si>
    <r>
      <rPr>
        <sz val="11"/>
        <color theme="1"/>
        <rFont val="WenQuanYi Zen Hei"/>
        <family val="2"/>
      </rPr>
      <t xml:space="preserve">곡물 조달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가공 및 식품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사료 원료</t>
    </r>
  </si>
  <si>
    <t xml:space="preserve">Principal Financial Group</t>
  </si>
  <si>
    <t xml:space="preserve">PFG</t>
  </si>
  <si>
    <r>
      <rPr>
        <sz val="11"/>
        <color theme="1"/>
        <rFont val="WenQuanYi Zen Hei"/>
        <family val="2"/>
      </rPr>
      <t xml:space="preserve">퇴직연금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자산운용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보험</t>
    </r>
  </si>
  <si>
    <t xml:space="preserve">United Rentals</t>
  </si>
  <si>
    <t xml:space="preserve">URI</t>
  </si>
  <si>
    <r>
      <rPr>
        <sz val="11"/>
        <color theme="1"/>
        <rFont val="WenQuanYi Zen Hei"/>
        <family val="2"/>
      </rPr>
      <t xml:space="preserve">건설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산업용 장비 렌탈</t>
    </r>
  </si>
  <si>
    <t xml:space="preserve">Mastercard</t>
  </si>
  <si>
    <t xml:space="preserve">MA</t>
  </si>
  <si>
    <t xml:space="preserve">글로벌 카드 결제 네트워크</t>
  </si>
  <si>
    <t xml:space="preserve">Biogen</t>
  </si>
  <si>
    <t xml:space="preserve">BIIB</t>
  </si>
  <si>
    <r>
      <rPr>
        <sz val="11"/>
        <color theme="1"/>
        <rFont val="WenQuanYi Zen Hei"/>
        <family val="2"/>
      </rPr>
      <t xml:space="preserve">다발성경화증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알츠하이머 등 신경질환 치료제</t>
    </r>
  </si>
  <si>
    <t xml:space="preserve">Union Pacific Corporation</t>
  </si>
  <si>
    <t xml:space="preserve">UNP</t>
  </si>
  <si>
    <t xml:space="preserve">미국 서부 화물 철도</t>
  </si>
  <si>
    <t xml:space="preserve">Nordson Corporation</t>
  </si>
  <si>
    <t xml:space="preserve">NDSN</t>
  </si>
  <si>
    <r>
      <rPr>
        <sz val="11"/>
        <color theme="1"/>
        <rFont val="WenQuanYi Zen Hei"/>
        <family val="2"/>
      </rPr>
      <t xml:space="preserve">정밀 접착제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코팅 도포 장비</t>
    </r>
  </si>
  <si>
    <t xml:space="preserve">DoorDash</t>
  </si>
  <si>
    <t xml:space="preserve">DASH</t>
  </si>
  <si>
    <r>
      <rPr>
        <sz val="11"/>
        <color theme="1"/>
        <rFont val="WenQuanYi Zen Hei"/>
        <family val="2"/>
      </rPr>
      <t xml:space="preserve">음식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식료품 배달 플랫폼</t>
    </r>
  </si>
  <si>
    <t xml:space="preserve">Jacobs Solutions</t>
  </si>
  <si>
    <t xml:space="preserve">J</t>
  </si>
  <si>
    <r>
      <rPr>
        <sz val="11"/>
        <color theme="1"/>
        <rFont val="WenQuanYi Zen Hei"/>
        <family val="2"/>
      </rPr>
      <t xml:space="preserve">인프라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첨단시설 엔지니어링 및 컨설팅</t>
    </r>
  </si>
  <si>
    <t xml:space="preserve">Philip Morris International</t>
  </si>
  <si>
    <t xml:space="preserve">PM</t>
  </si>
  <si>
    <r>
      <rPr>
        <sz val="11"/>
        <color theme="1"/>
        <rFont val="WenQuanYi Zen Hei"/>
        <family val="2"/>
      </rPr>
      <t xml:space="preserve">궐련 및 전자담배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아이코스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니코틴 파우치</t>
    </r>
  </si>
  <si>
    <t xml:space="preserve">Huntington Ingalls Industries</t>
  </si>
  <si>
    <t xml:space="preserve">HII</t>
  </si>
  <si>
    <r>
      <rPr>
        <sz val="11"/>
        <color theme="1"/>
        <rFont val="WenQuanYi Zen Hei"/>
        <family val="2"/>
      </rPr>
      <t xml:space="preserve">미 해군 군함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항공모함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잠수함 건조</t>
    </r>
  </si>
  <si>
    <t xml:space="preserve">Copart</t>
  </si>
  <si>
    <t xml:space="preserve">CPRT</t>
  </si>
  <si>
    <t xml:space="preserve">2026-04-30</t>
  </si>
  <si>
    <r>
      <rPr>
        <sz val="11"/>
        <color theme="1"/>
        <rFont val="WenQuanYi Zen Hei"/>
        <family val="2"/>
      </rPr>
      <t xml:space="preserve">사고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중고차량 온라인 경매</t>
    </r>
  </si>
  <si>
    <t xml:space="preserve">Huntington Bancshares</t>
  </si>
  <si>
    <t xml:space="preserve">HBAN</t>
  </si>
  <si>
    <t xml:space="preserve">미국 중서부 지역은행</t>
  </si>
  <si>
    <t xml:space="preserve">Solventum</t>
  </si>
  <si>
    <t xml:space="preserve">SOLV</t>
  </si>
  <si>
    <r>
      <rPr>
        <sz val="11"/>
        <color theme="1"/>
        <rFont val="WenQuanYi Zen Hei"/>
        <family val="2"/>
      </rPr>
      <t xml:space="preserve">의료용품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치과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정수 필터 헬스케어 </t>
    </r>
    <r>
      <rPr>
        <sz val="11"/>
        <color theme="1"/>
        <rFont val="Calibri"/>
        <family val="2"/>
        <charset val="1"/>
      </rPr>
      <t xml:space="preserve">(3M</t>
    </r>
    <r>
      <rPr>
        <sz val="11"/>
        <color theme="1"/>
        <rFont val="WenQuanYi Zen Hei"/>
        <family val="2"/>
      </rPr>
      <t xml:space="preserve">에서 분사</t>
    </r>
    <r>
      <rPr>
        <sz val="11"/>
        <color theme="1"/>
        <rFont val="Calibri"/>
        <family val="2"/>
        <charset val="1"/>
      </rPr>
      <t xml:space="preserve">)</t>
    </r>
  </si>
  <si>
    <t xml:space="preserve">General Motors</t>
  </si>
  <si>
    <t xml:space="preserve">GM</t>
  </si>
  <si>
    <r>
      <rPr>
        <sz val="11"/>
        <color theme="1"/>
        <rFont val="WenQuanYi Zen Hei"/>
        <family val="2"/>
      </rPr>
      <t xml:space="preserve">자동차 제조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쉐보레</t>
    </r>
    <r>
      <rPr>
        <sz val="11"/>
        <color theme="1"/>
        <rFont val="Calibri"/>
        <family val="2"/>
        <charset val="1"/>
      </rPr>
      <t xml:space="preserve">·GMC·</t>
    </r>
    <r>
      <rPr>
        <sz val="11"/>
        <color theme="1"/>
        <rFont val="WenQuanYi Zen Hei"/>
        <family val="2"/>
      </rPr>
      <t xml:space="preserve">캐딜락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및 자동차 금융</t>
    </r>
  </si>
  <si>
    <t xml:space="preserve">Northrop Grumman</t>
  </si>
  <si>
    <t xml:space="preserve">NOC</t>
  </si>
  <si>
    <r>
      <rPr>
        <sz val="11"/>
        <color theme="1"/>
        <rFont val="WenQuanYi Zen Hei"/>
        <family val="2"/>
      </rPr>
      <t xml:space="preserve">스텔스 폭격기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우주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미사일 방산</t>
    </r>
  </si>
  <si>
    <t xml:space="preserve">Cisco</t>
  </si>
  <si>
    <t xml:space="preserve">CSCO</t>
  </si>
  <si>
    <r>
      <rPr>
        <sz val="11"/>
        <color theme="1"/>
        <rFont val="WenQuanYi Zen Hei"/>
        <family val="2"/>
      </rPr>
      <t xml:space="preserve">네트워크 장비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보안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협업 소프트웨어</t>
    </r>
  </si>
  <si>
    <t xml:space="preserve">Targa Resources</t>
  </si>
  <si>
    <t xml:space="preserve">TRGP</t>
  </si>
  <si>
    <t xml:space="preserve">Chipotle Mexican Grill</t>
  </si>
  <si>
    <t xml:space="preserve">CMG</t>
  </si>
  <si>
    <t xml:space="preserve">멕시칸 패스트캐주얼 레스토랑 체인</t>
  </si>
  <si>
    <t xml:space="preserve">KLA Corporation</t>
  </si>
  <si>
    <t xml:space="preserve">KLAC</t>
  </si>
  <si>
    <r>
      <rPr>
        <sz val="11"/>
        <color theme="1"/>
        <rFont val="WenQuanYi Zen Hei"/>
        <family val="2"/>
      </rPr>
      <t xml:space="preserve">반도체 공정 검사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계측 장비</t>
    </r>
  </si>
  <si>
    <t xml:space="preserve">State Street Corporation</t>
  </si>
  <si>
    <t xml:space="preserve">STT</t>
  </si>
  <si>
    <r>
      <rPr>
        <sz val="11"/>
        <color theme="1"/>
        <rFont val="WenQuanYi Zen Hei"/>
        <family val="2"/>
      </rPr>
      <t xml:space="preserve">기관투자자 수탁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자산관리 및 운용</t>
    </r>
  </si>
  <si>
    <t xml:space="preserve">A. O. Smith</t>
  </si>
  <si>
    <t xml:space="preserve">AOS</t>
  </si>
  <si>
    <r>
      <rPr>
        <sz val="11"/>
        <color theme="1"/>
        <rFont val="WenQuanYi Zen Hei"/>
        <family val="2"/>
      </rPr>
      <t xml:space="preserve">가정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상업용 온수기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보일러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정수기</t>
    </r>
  </si>
  <si>
    <t xml:space="preserve">CrowdStrike</t>
  </si>
  <si>
    <t xml:space="preserve">CRWD</t>
  </si>
  <si>
    <t xml:space="preserve">N/M</t>
  </si>
  <si>
    <t xml:space="preserve">클라우드 기반 엔드포인트 사이버보안 플랫폼</t>
  </si>
  <si>
    <t xml:space="preserve">Flex Ltd.</t>
  </si>
  <si>
    <t xml:space="preserve">FLEX</t>
  </si>
  <si>
    <r>
      <rPr>
        <sz val="11"/>
        <color theme="1"/>
        <rFont val="WenQuanYi Zen Hei"/>
        <family val="2"/>
      </rPr>
      <t xml:space="preserve">전자제품 위탁생산</t>
    </r>
    <r>
      <rPr>
        <sz val="11"/>
        <color theme="1"/>
        <rFont val="Calibri"/>
        <family val="2"/>
        <charset val="1"/>
      </rPr>
      <t xml:space="preserve">(EMS) </t>
    </r>
    <r>
      <rPr>
        <sz val="11"/>
        <color theme="1"/>
        <rFont val="WenQuanYi Zen Hei"/>
        <family val="2"/>
      </rPr>
      <t xml:space="preserve">및 데이터센터 전력 장비</t>
    </r>
  </si>
  <si>
    <t xml:space="preserve">Prologis</t>
  </si>
  <si>
    <t xml:space="preserve">PLD</t>
  </si>
  <si>
    <r>
      <rPr>
        <sz val="11"/>
        <color theme="1"/>
        <rFont val="WenQuanYi Zen Hei"/>
        <family val="2"/>
      </rPr>
      <t xml:space="preserve">물류창고 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임대 리츠</t>
    </r>
  </si>
  <si>
    <t xml:space="preserve">Real Estate</t>
  </si>
  <si>
    <t xml:space="preserve">Gen Digital</t>
  </si>
  <si>
    <t xml:space="preserve">GEN</t>
  </si>
  <si>
    <r>
      <rPr>
        <sz val="11"/>
        <color theme="1"/>
        <rFont val="WenQuanYi Zen Hei"/>
        <family val="2"/>
      </rPr>
      <t xml:space="preserve">개인용 사이버보안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노턴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어베스트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소프트웨어</t>
    </r>
  </si>
  <si>
    <t xml:space="preserve">Charles River Laboratories</t>
  </si>
  <si>
    <t xml:space="preserve">CRL</t>
  </si>
  <si>
    <t xml:space="preserve">신약 비임상시험 및 연구용 동물모델 서비스</t>
  </si>
  <si>
    <t xml:space="preserve">Teradyne</t>
  </si>
  <si>
    <t xml:space="preserve">TER</t>
  </si>
  <si>
    <t xml:space="preserve">Supermicro</t>
  </si>
  <si>
    <t xml:space="preserve">SMCI</t>
  </si>
  <si>
    <t xml:space="preserve">Bunge Global</t>
  </si>
  <si>
    <t xml:space="preserve">BG</t>
  </si>
  <si>
    <t xml:space="preserve">Omnicom Group</t>
  </si>
  <si>
    <t xml:space="preserve">OMC</t>
  </si>
  <si>
    <t xml:space="preserve">Dell Technologies</t>
  </si>
  <si>
    <t xml:space="preserve">DELL</t>
  </si>
  <si>
    <t xml:space="preserve">AppLovin</t>
  </si>
  <si>
    <t xml:space="preserve">APP</t>
  </si>
  <si>
    <t xml:space="preserve">Synopsys</t>
  </si>
  <si>
    <t xml:space="preserve">SNPS</t>
  </si>
  <si>
    <t xml:space="preserve">Welltower</t>
  </si>
  <si>
    <t xml:space="preserve">WELL</t>
  </si>
  <si>
    <t xml:space="preserve">Ciena</t>
  </si>
  <si>
    <t xml:space="preserve">CIEN</t>
  </si>
  <si>
    <t xml:space="preserve">Keysight Technologies</t>
  </si>
  <si>
    <t xml:space="preserve">KEYS</t>
  </si>
  <si>
    <t xml:space="preserve">Brown &amp; Brown</t>
  </si>
  <si>
    <t xml:space="preserve">BRO</t>
  </si>
  <si>
    <t xml:space="preserve">Texas Pacific Land Corporation</t>
  </si>
  <si>
    <t xml:space="preserve">TPL</t>
  </si>
  <si>
    <t xml:space="preserve">BlackRock</t>
  </si>
  <si>
    <t xml:space="preserve">BLK</t>
  </si>
  <si>
    <t xml:space="preserve">NetApp</t>
  </si>
  <si>
    <t xml:space="preserve">NTAP</t>
  </si>
  <si>
    <t xml:space="preserve">Oracle Corporation</t>
  </si>
  <si>
    <t xml:space="preserve">ORCL</t>
  </si>
  <si>
    <t xml:space="preserve">2026-08-31</t>
  </si>
  <si>
    <t xml:space="preserve">Fidelity National Information Services</t>
  </si>
  <si>
    <t xml:space="preserve">FIS</t>
  </si>
  <si>
    <t xml:space="preserve">Fox Corporation (Class A)</t>
  </si>
  <si>
    <t xml:space="preserve">FOXA</t>
  </si>
  <si>
    <t xml:space="preserve">Fox Corporation (Class B)</t>
  </si>
  <si>
    <t xml:space="preserve">FOX</t>
  </si>
  <si>
    <t xml:space="preserve">Meta Platforms</t>
  </si>
  <si>
    <t xml:space="preserve">META</t>
  </si>
  <si>
    <t xml:space="preserve">Morgan Stanley</t>
  </si>
  <si>
    <t xml:space="preserve">MS</t>
  </si>
  <si>
    <t xml:space="preserve">Capital One</t>
  </si>
  <si>
    <t xml:space="preserve">COF</t>
  </si>
  <si>
    <t xml:space="preserve">Humana</t>
  </si>
  <si>
    <t xml:space="preserve">HUM</t>
  </si>
  <si>
    <t xml:space="preserve">Amcor</t>
  </si>
  <si>
    <t xml:space="preserve">AMCR</t>
  </si>
  <si>
    <t xml:space="preserve">Fair Isaac</t>
  </si>
  <si>
    <t xml:space="preserve">FICO</t>
  </si>
  <si>
    <t xml:space="preserve">Arthur J. Gallagher &amp; Co.</t>
  </si>
  <si>
    <t xml:space="preserve">AJG</t>
  </si>
  <si>
    <t xml:space="preserve">Alphabet Inc. (Class A)</t>
  </si>
  <si>
    <t xml:space="preserve">GOOGL</t>
  </si>
  <si>
    <t xml:space="preserve">Alphabet Inc. (Class C)</t>
  </si>
  <si>
    <t xml:space="preserve">GOOG</t>
  </si>
  <si>
    <t xml:space="preserve">Cadence Design Systems</t>
  </si>
  <si>
    <t xml:space="preserve">CDNS</t>
  </si>
  <si>
    <t xml:space="preserve">ServiceNow</t>
  </si>
  <si>
    <t xml:space="preserve">NOW</t>
  </si>
  <si>
    <t xml:space="preserve">Insulet Corporation</t>
  </si>
  <si>
    <t xml:space="preserve">PODD</t>
  </si>
  <si>
    <t xml:space="preserve">Constellation Energy</t>
  </si>
  <si>
    <t xml:space="preserve">CEG</t>
  </si>
  <si>
    <t xml:space="preserve">Nucor</t>
  </si>
  <si>
    <t xml:space="preserve">NUE</t>
  </si>
  <si>
    <t xml:space="preserve">TransDigm Group</t>
  </si>
  <si>
    <t xml:space="preserve">TDG</t>
  </si>
  <si>
    <t xml:space="preserve">Qnity Electronics</t>
  </si>
  <si>
    <t xml:space="preserve">Q</t>
  </si>
  <si>
    <t xml:space="preserve">Ventas</t>
  </si>
  <si>
    <t xml:space="preserve">VTR</t>
  </si>
  <si>
    <t xml:space="preserve">Corpay</t>
  </si>
  <si>
    <t xml:space="preserve">CPAY</t>
  </si>
  <si>
    <t xml:space="preserve">GE Aerospace</t>
  </si>
  <si>
    <t xml:space="preserve">GE</t>
  </si>
  <si>
    <t xml:space="preserve">Charles Schwab Corporation</t>
  </si>
  <si>
    <t xml:space="preserve">SCHW</t>
  </si>
  <si>
    <t xml:space="preserve">Invesco</t>
  </si>
  <si>
    <t xml:space="preserve">IVZ</t>
  </si>
  <si>
    <t xml:space="preserve">Zebra Technologies</t>
  </si>
  <si>
    <t xml:space="preserve">ZBRA</t>
  </si>
  <si>
    <t xml:space="preserve">Monster Beverage</t>
  </si>
  <si>
    <t xml:space="preserve">MNST</t>
  </si>
  <si>
    <t xml:space="preserve">AES Corporation</t>
  </si>
  <si>
    <t xml:space="preserve">AES</t>
  </si>
  <si>
    <t xml:space="preserve">Simon Property Group</t>
  </si>
  <si>
    <t xml:space="preserve">SPG</t>
  </si>
  <si>
    <t xml:space="preserve">NXP Semiconductors</t>
  </si>
  <si>
    <t xml:space="preserve">NXPI</t>
  </si>
  <si>
    <t xml:space="preserve">Intuitive Surgical</t>
  </si>
  <si>
    <t xml:space="preserve">ISRG</t>
  </si>
  <si>
    <t xml:space="preserve">Iron Mountain</t>
  </si>
  <si>
    <t xml:space="preserve">IRM</t>
  </si>
  <si>
    <t xml:space="preserve">CoStar Group</t>
  </si>
  <si>
    <t xml:space="preserve">CSGP</t>
  </si>
  <si>
    <t xml:space="preserve">TKO Group Holdings</t>
  </si>
  <si>
    <t xml:space="preserve">TKO</t>
  </si>
  <si>
    <t xml:space="preserve">JPMorgan Chase</t>
  </si>
  <si>
    <t xml:space="preserve">JPM</t>
  </si>
  <si>
    <t xml:space="preserve">Microsoft</t>
  </si>
  <si>
    <t xml:space="preserve">MSFT</t>
  </si>
  <si>
    <t xml:space="preserve">Veeva Systems</t>
  </si>
  <si>
    <t xml:space="preserve">VEEV</t>
  </si>
  <si>
    <t xml:space="preserve">Dominion Energy</t>
  </si>
  <si>
    <t xml:space="preserve">D</t>
  </si>
  <si>
    <t xml:space="preserve">Wabtec</t>
  </si>
  <si>
    <t xml:space="preserve">WAB</t>
  </si>
  <si>
    <t xml:space="preserve">McCormick &amp; Company</t>
  </si>
  <si>
    <t xml:space="preserve">MKC</t>
  </si>
  <si>
    <t xml:space="preserve">Corning Inc.</t>
  </si>
  <si>
    <t xml:space="preserve">GLW</t>
  </si>
  <si>
    <t xml:space="preserve">Amazon</t>
  </si>
  <si>
    <t xml:space="preserve">AMZN</t>
  </si>
  <si>
    <t xml:space="preserve">Apple Inc.</t>
  </si>
  <si>
    <t xml:space="preserve">AAPL</t>
  </si>
  <si>
    <t xml:space="preserve">Equinix</t>
  </si>
  <si>
    <t xml:space="preserve">EQIX</t>
  </si>
  <si>
    <t xml:space="preserve">Digital Realty</t>
  </si>
  <si>
    <t xml:space="preserve">DLR</t>
  </si>
  <si>
    <t xml:space="preserve">Autodesk</t>
  </si>
  <si>
    <t xml:space="preserve">ADSK</t>
  </si>
  <si>
    <t xml:space="preserve">Raymond James Financial</t>
  </si>
  <si>
    <t xml:space="preserve">RJF</t>
  </si>
  <si>
    <t xml:space="preserve">CBRE Group</t>
  </si>
  <si>
    <t xml:space="preserve">CBRE</t>
  </si>
  <si>
    <t xml:space="preserve">Moody's Corporation</t>
  </si>
  <si>
    <t xml:space="preserve">MCO</t>
  </si>
  <si>
    <t xml:space="preserve">Newmont</t>
  </si>
  <si>
    <t xml:space="preserve">NEM</t>
  </si>
  <si>
    <t xml:space="preserve">Ametek</t>
  </si>
  <si>
    <t xml:space="preserve">AME</t>
  </si>
  <si>
    <t xml:space="preserve">eBay Inc.</t>
  </si>
  <si>
    <t xml:space="preserve">EBAY</t>
  </si>
  <si>
    <t xml:space="preserve">Fastenal</t>
  </si>
  <si>
    <t xml:space="preserve">FAST</t>
  </si>
  <si>
    <t xml:space="preserve">Packaging Corporation of America</t>
  </si>
  <si>
    <t xml:space="preserve">PKG</t>
  </si>
  <si>
    <t xml:space="preserve">Visa Inc.</t>
  </si>
  <si>
    <t xml:space="preserve">V</t>
  </si>
  <si>
    <t xml:space="preserve">Citigroup</t>
  </si>
  <si>
    <t xml:space="preserve">C</t>
  </si>
  <si>
    <t xml:space="preserve">Franklin Resources</t>
  </si>
  <si>
    <t xml:space="preserve">BEN</t>
  </si>
  <si>
    <t xml:space="preserve">Ralph Lauren Corporation</t>
  </si>
  <si>
    <t xml:space="preserve">RL</t>
  </si>
  <si>
    <t xml:space="preserve">Boeing</t>
  </si>
  <si>
    <t xml:space="preserve">BA</t>
  </si>
  <si>
    <t xml:space="preserve">BNY Mellon</t>
  </si>
  <si>
    <t xml:space="preserve">BNY</t>
  </si>
  <si>
    <t xml:space="preserve">TE Connectivity</t>
  </si>
  <si>
    <t xml:space="preserve">TEL</t>
  </si>
  <si>
    <t xml:space="preserve">West Pharmaceutical Services</t>
  </si>
  <si>
    <t xml:space="preserve">WST</t>
  </si>
  <si>
    <t xml:space="preserve">Medtronic</t>
  </si>
  <si>
    <t xml:space="preserve">MDT</t>
  </si>
  <si>
    <t xml:space="preserve">Prudential Financial</t>
  </si>
  <si>
    <t xml:space="preserve">PRU</t>
  </si>
  <si>
    <t xml:space="preserve">PNC Financial Services</t>
  </si>
  <si>
    <t xml:space="preserve">PNC</t>
  </si>
  <si>
    <t xml:space="preserve">Intuit</t>
  </si>
  <si>
    <t xml:space="preserve">INTU</t>
  </si>
  <si>
    <t xml:space="preserve">Edwards Lifesciences</t>
  </si>
  <si>
    <t xml:space="preserve">EW</t>
  </si>
  <si>
    <t xml:space="preserve">Netflix</t>
  </si>
  <si>
    <t xml:space="preserve">NFLX</t>
  </si>
  <si>
    <t xml:space="preserve">Ross Stores</t>
  </si>
  <si>
    <t xml:space="preserve">ROST</t>
  </si>
  <si>
    <t xml:space="preserve">Consolidated Edison</t>
  </si>
  <si>
    <t xml:space="preserve">ED</t>
  </si>
  <si>
    <t xml:space="preserve">Dexcom</t>
  </si>
  <si>
    <t xml:space="preserve">DXCM</t>
  </si>
  <si>
    <t xml:space="preserve">Ameriprise Financial</t>
  </si>
  <si>
    <t xml:space="preserve">AMP</t>
  </si>
  <si>
    <t xml:space="preserve">Adobe Inc.</t>
  </si>
  <si>
    <t xml:space="preserve">ADBE</t>
  </si>
  <si>
    <t xml:space="preserve">Workday, Inc.</t>
  </si>
  <si>
    <t xml:space="preserve">WDAY</t>
  </si>
  <si>
    <t xml:space="preserve">FedEx</t>
  </si>
  <si>
    <t xml:space="preserve">FDX</t>
  </si>
  <si>
    <t xml:space="preserve">HP Inc.</t>
  </si>
  <si>
    <t xml:space="preserve">HPQ</t>
  </si>
  <si>
    <t xml:space="preserve">Paychex</t>
  </si>
  <si>
    <t xml:space="preserve">PAYX</t>
  </si>
  <si>
    <t xml:space="preserve">Yum! Brands</t>
  </si>
  <si>
    <t xml:space="preserve">YUM</t>
  </si>
  <si>
    <t xml:space="preserve">MSCI</t>
  </si>
  <si>
    <t xml:space="preserve">Uber</t>
  </si>
  <si>
    <t xml:space="preserve">UBER</t>
  </si>
  <si>
    <t xml:space="preserve">Citizens Financial Group</t>
  </si>
  <si>
    <t xml:space="preserve">CFG</t>
  </si>
  <si>
    <t xml:space="preserve">Entergy</t>
  </si>
  <si>
    <t xml:space="preserve">ETR</t>
  </si>
  <si>
    <t xml:space="preserve">Jabil</t>
  </si>
  <si>
    <t xml:space="preserve">JBL</t>
  </si>
  <si>
    <t xml:space="preserve">Costco</t>
  </si>
  <si>
    <t xml:space="preserve">COST</t>
  </si>
  <si>
    <t xml:space="preserve">Cincinnati Financial</t>
  </si>
  <si>
    <t xml:space="preserve">CINF</t>
  </si>
  <si>
    <t xml:space="preserve">Healthpeak Properties</t>
  </si>
  <si>
    <t xml:space="preserve">DOC</t>
  </si>
  <si>
    <t xml:space="preserve">Trimble Inc.</t>
  </si>
  <si>
    <t xml:space="preserve">TRMB</t>
  </si>
  <si>
    <t xml:space="preserve">NRG Energy</t>
  </si>
  <si>
    <t xml:space="preserve">NRG</t>
  </si>
  <si>
    <t xml:space="preserve">Avery Dennison</t>
  </si>
  <si>
    <t xml:space="preserve">AVY</t>
  </si>
  <si>
    <t xml:space="preserve">F5, Inc.</t>
  </si>
  <si>
    <t xml:space="preserve">FFIV</t>
  </si>
  <si>
    <t xml:space="preserve">Salesforce</t>
  </si>
  <si>
    <t xml:space="preserve">CRM</t>
  </si>
  <si>
    <t xml:space="preserve">Allstate</t>
  </si>
  <si>
    <t xml:space="preserve">ALL</t>
  </si>
  <si>
    <t xml:space="preserve">News Corp (Class A)</t>
  </si>
  <si>
    <t xml:space="preserve">NWSA</t>
  </si>
  <si>
    <t xml:space="preserve">News Corp (Class B)</t>
  </si>
  <si>
    <t xml:space="preserve">NWS</t>
  </si>
  <si>
    <t xml:space="preserve">Kinder Morgan</t>
  </si>
  <si>
    <t xml:space="preserve">KMI</t>
  </si>
  <si>
    <t xml:space="preserve">CenterPoint Energy</t>
  </si>
  <si>
    <t xml:space="preserve">CNP</t>
  </si>
  <si>
    <t xml:space="preserve">Intercontinental Exchange</t>
  </si>
  <si>
    <t xml:space="preserve">ICE</t>
  </si>
  <si>
    <t xml:space="preserve">T. Rowe Price</t>
  </si>
  <si>
    <t xml:space="preserve">TROW</t>
  </si>
  <si>
    <t xml:space="preserve">Equifax</t>
  </si>
  <si>
    <t xml:space="preserve">EFX</t>
  </si>
  <si>
    <t xml:space="preserve">Thermo Fisher Scientific</t>
  </si>
  <si>
    <t xml:space="preserve">TMO</t>
  </si>
  <si>
    <t xml:space="preserve">S&amp;P Global</t>
  </si>
  <si>
    <t xml:space="preserve">SPGI</t>
  </si>
  <si>
    <t xml:space="preserve">W. W. Grainger</t>
  </si>
  <si>
    <t xml:space="preserve">GWW</t>
  </si>
  <si>
    <t xml:space="preserve">Quest Diagnostics</t>
  </si>
  <si>
    <t xml:space="preserve">DGX</t>
  </si>
  <si>
    <t xml:space="preserve">U.S. Bancorp</t>
  </si>
  <si>
    <t xml:space="preserve">USB</t>
  </si>
  <si>
    <t xml:space="preserve">Wells Fargo</t>
  </si>
  <si>
    <t xml:space="preserve">WFC</t>
  </si>
  <si>
    <t xml:space="preserve">American Express</t>
  </si>
  <si>
    <t xml:space="preserve">AXP</t>
  </si>
  <si>
    <t xml:space="preserve">Exelon</t>
  </si>
  <si>
    <t xml:space="preserve">EXC</t>
  </si>
  <si>
    <t xml:space="preserve">Centene Corporation</t>
  </si>
  <si>
    <t xml:space="preserve">CNC</t>
  </si>
  <si>
    <t xml:space="preserve">MetLife</t>
  </si>
  <si>
    <t xml:space="preserve">MET</t>
  </si>
  <si>
    <t xml:space="preserve">Teledyne Technologies</t>
  </si>
  <si>
    <t xml:space="preserve">TDY</t>
  </si>
  <si>
    <t xml:space="preserve">Williams Companies</t>
  </si>
  <si>
    <t xml:space="preserve">WMB</t>
  </si>
  <si>
    <t xml:space="preserve">Parker Hannifin</t>
  </si>
  <si>
    <t xml:space="preserve">PH</t>
  </si>
  <si>
    <t xml:space="preserve">Invitation Homes</t>
  </si>
  <si>
    <t xml:space="preserve">INVH</t>
  </si>
  <si>
    <t xml:space="preserve">Ecolab</t>
  </si>
  <si>
    <t xml:space="preserve">ECL</t>
  </si>
  <si>
    <t xml:space="preserve">Idexx Laboratories</t>
  </si>
  <si>
    <t xml:space="preserve">IDXX</t>
  </si>
  <si>
    <t xml:space="preserve">Stryker Corporation</t>
  </si>
  <si>
    <t xml:space="preserve">SYK</t>
  </si>
  <si>
    <t xml:space="preserve">Assurant</t>
  </si>
  <si>
    <t xml:space="preserve">AIZ</t>
  </si>
  <si>
    <t xml:space="preserve">Linde plc</t>
  </si>
  <si>
    <t xml:space="preserve">LIN</t>
  </si>
  <si>
    <t xml:space="preserve">Block, Inc.</t>
  </si>
  <si>
    <t xml:space="preserve">XYZ</t>
  </si>
  <si>
    <t xml:space="preserve">Johnson Controls</t>
  </si>
  <si>
    <t xml:space="preserve">JCI</t>
  </si>
  <si>
    <t xml:space="preserve">ON Semiconductor</t>
  </si>
  <si>
    <t xml:space="preserve">ON</t>
  </si>
  <si>
    <t xml:space="preserve">Willis Towers Watson</t>
  </si>
  <si>
    <t xml:space="preserve">WTW</t>
  </si>
  <si>
    <t xml:space="preserve">APA Corporation</t>
  </si>
  <si>
    <t xml:space="preserve">APA</t>
  </si>
  <si>
    <t xml:space="preserve">Cintas</t>
  </si>
  <si>
    <t xml:space="preserve">CTAS</t>
  </si>
  <si>
    <t xml:space="preserve">Tapestry, Inc.</t>
  </si>
  <si>
    <t xml:space="preserve">TPR</t>
  </si>
  <si>
    <t xml:space="preserve">Ulta Beauty</t>
  </si>
  <si>
    <t xml:space="preserve">ULTA</t>
  </si>
  <si>
    <t xml:space="preserve">FirstEnergy</t>
  </si>
  <si>
    <t xml:space="preserve">FE</t>
  </si>
  <si>
    <t xml:space="preserve">Northern Trust</t>
  </si>
  <si>
    <t xml:space="preserve">NTRS</t>
  </si>
  <si>
    <t xml:space="preserve">IQVIA</t>
  </si>
  <si>
    <t xml:space="preserve">IQV</t>
  </si>
  <si>
    <t xml:space="preserve">HCA Healthcare</t>
  </si>
  <si>
    <t xml:space="preserve">HCA</t>
  </si>
  <si>
    <t xml:space="preserve">ResMed|</t>
  </si>
  <si>
    <t xml:space="preserve">RMD</t>
  </si>
  <si>
    <t xml:space="preserve">Roper Technologies</t>
  </si>
  <si>
    <t xml:space="preserve">ROP</t>
  </si>
  <si>
    <t xml:space="preserve">L3Harris</t>
  </si>
  <si>
    <t xml:space="preserve">LHX</t>
  </si>
  <si>
    <t xml:space="preserve">Regency Centers</t>
  </si>
  <si>
    <t xml:space="preserve">REG</t>
  </si>
  <si>
    <t xml:space="preserve">Universal Health Services</t>
  </si>
  <si>
    <t xml:space="preserve">UHS</t>
  </si>
  <si>
    <t xml:space="preserve">Mondelez International</t>
  </si>
  <si>
    <t xml:space="preserve">MDLZ</t>
  </si>
  <si>
    <t xml:space="preserve">Tyler Technologies</t>
  </si>
  <si>
    <t xml:space="preserve">TYL</t>
  </si>
  <si>
    <t xml:space="preserve">O'Reilly Automotive</t>
  </si>
  <si>
    <t xml:space="preserve">ORLY</t>
  </si>
  <si>
    <t xml:space="preserve">General Dynamics</t>
  </si>
  <si>
    <t xml:space="preserve">GD</t>
  </si>
  <si>
    <t xml:space="preserve">Agilent Technologies</t>
  </si>
  <si>
    <t xml:space="preserve">A</t>
  </si>
  <si>
    <t xml:space="preserve">Globe Life</t>
  </si>
  <si>
    <t xml:space="preserve">GL</t>
  </si>
  <si>
    <t xml:space="preserve">Fortive</t>
  </si>
  <si>
    <t xml:space="preserve">FTV</t>
  </si>
  <si>
    <t xml:space="preserve">Rockwell Automation</t>
  </si>
  <si>
    <t xml:space="preserve">ROK</t>
  </si>
  <si>
    <t xml:space="preserve">T-Mobile US</t>
  </si>
  <si>
    <t xml:space="preserve">TMUS</t>
  </si>
  <si>
    <t xml:space="preserve">Abbott Laboratories</t>
  </si>
  <si>
    <t xml:space="preserve">ABT</t>
  </si>
  <si>
    <t xml:space="preserve">Federal Realty Investment Trust</t>
  </si>
  <si>
    <t xml:space="preserve">FRT</t>
  </si>
  <si>
    <t xml:space="preserve">McKesson Corporation</t>
  </si>
  <si>
    <t xml:space="preserve">MCK</t>
  </si>
  <si>
    <t xml:space="preserve">United Parcel Service</t>
  </si>
  <si>
    <t xml:space="preserve">UPS</t>
  </si>
  <si>
    <t xml:space="preserve">Boston Scientific</t>
  </si>
  <si>
    <t xml:space="preserve">BSX</t>
  </si>
  <si>
    <t xml:space="preserve">Veralto</t>
  </si>
  <si>
    <t xml:space="preserve">VLTO</t>
  </si>
  <si>
    <t xml:space="preserve">Otis Worldwide</t>
  </si>
  <si>
    <t xml:space="preserve">OTIS</t>
  </si>
  <si>
    <t xml:space="preserve">Steris</t>
  </si>
  <si>
    <t xml:space="preserve">STE</t>
  </si>
  <si>
    <t xml:space="preserve">Progressive Corporation</t>
  </si>
  <si>
    <t xml:space="preserve">PGR</t>
  </si>
  <si>
    <t xml:space="preserve">CVS Health</t>
  </si>
  <si>
    <t xml:space="preserve">CVS</t>
  </si>
  <si>
    <t xml:space="preserve">Chubb Limited</t>
  </si>
  <si>
    <t xml:space="preserve">CB</t>
  </si>
  <si>
    <t xml:space="preserve">Leidos</t>
  </si>
  <si>
    <t xml:space="preserve">LDOS</t>
  </si>
  <si>
    <t xml:space="preserve">Bank of America</t>
  </si>
  <si>
    <t xml:space="preserve">BAC</t>
  </si>
  <si>
    <t xml:space="preserve">KeyCorp</t>
  </si>
  <si>
    <t xml:space="preserve">KEY</t>
  </si>
  <si>
    <t xml:space="preserve">American Electric Power</t>
  </si>
  <si>
    <t xml:space="preserve">AEP</t>
  </si>
  <si>
    <t xml:space="preserve">Emerson Electric</t>
  </si>
  <si>
    <t xml:space="preserve">EMR</t>
  </si>
  <si>
    <t xml:space="preserve">Dollar Tree</t>
  </si>
  <si>
    <t xml:space="preserve">DLTR</t>
  </si>
  <si>
    <t xml:space="preserve">Wynn Resorts</t>
  </si>
  <si>
    <t xml:space="preserve">WYNN</t>
  </si>
  <si>
    <t xml:space="preserve">Dover Corporation</t>
  </si>
  <si>
    <t xml:space="preserve">DOV</t>
  </si>
  <si>
    <t xml:space="preserve">Automatic Data Processing</t>
  </si>
  <si>
    <t xml:space="preserve">ADP</t>
  </si>
  <si>
    <t xml:space="preserve">Walt Disney Company (The)</t>
  </si>
  <si>
    <t xml:space="preserve">DIS</t>
  </si>
  <si>
    <t xml:space="preserve">Coca-Cola Company (The)</t>
  </si>
  <si>
    <t xml:space="preserve">KO</t>
  </si>
  <si>
    <t xml:space="preserve">Henry Schein</t>
  </si>
  <si>
    <t xml:space="preserve">HSIC</t>
  </si>
  <si>
    <t xml:space="preserve">Williams-Sonoma, Inc.</t>
  </si>
  <si>
    <t xml:space="preserve">WSM</t>
  </si>
  <si>
    <t xml:space="preserve">Cigna</t>
  </si>
  <si>
    <t xml:space="preserve">CI</t>
  </si>
  <si>
    <t xml:space="preserve">Hartford (The)</t>
  </si>
  <si>
    <t xml:space="preserve">HIG</t>
  </si>
  <si>
    <t xml:space="preserve">Realty Income</t>
  </si>
  <si>
    <t xml:space="preserve">O</t>
  </si>
  <si>
    <t xml:space="preserve">GoDaddy</t>
  </si>
  <si>
    <t xml:space="preserve">GDDY</t>
  </si>
  <si>
    <t xml:space="preserve">Hershey Company (The)</t>
  </si>
  <si>
    <t xml:space="preserve">HSY</t>
  </si>
  <si>
    <t xml:space="preserve">Johnson &amp; Johnson</t>
  </si>
  <si>
    <t xml:space="preserve">JNJ</t>
  </si>
  <si>
    <t xml:space="preserve">Royal Caribbean Group</t>
  </si>
  <si>
    <t xml:space="preserve">RCL</t>
  </si>
  <si>
    <t xml:space="preserve">FactSet</t>
  </si>
  <si>
    <t xml:space="preserve">FDS</t>
  </si>
  <si>
    <t xml:space="preserve">IDEX Corporation</t>
  </si>
  <si>
    <t xml:space="preserve">IEX</t>
  </si>
  <si>
    <t xml:space="preserve">Estée Lauder Companies (The)</t>
  </si>
  <si>
    <t xml:space="preserve">EL</t>
  </si>
  <si>
    <t xml:space="preserve">Marsh McLennan</t>
  </si>
  <si>
    <t xml:space="preserve">MRSH</t>
  </si>
  <si>
    <t xml:space="preserve">Illinois Tool Works</t>
  </si>
  <si>
    <t xml:space="preserve">ITW</t>
  </si>
  <si>
    <t xml:space="preserve">Genuine Parts Company</t>
  </si>
  <si>
    <t xml:space="preserve">GPC</t>
  </si>
  <si>
    <t xml:space="preserve">Verisign</t>
  </si>
  <si>
    <t xml:space="preserve">VRSN</t>
  </si>
  <si>
    <t xml:space="preserve">Walmart</t>
  </si>
  <si>
    <t xml:space="preserve">WMT</t>
  </si>
  <si>
    <t xml:space="preserve">Cardinal Health</t>
  </si>
  <si>
    <t xml:space="preserve">CAH</t>
  </si>
  <si>
    <t xml:space="preserve">Ares Management</t>
  </si>
  <si>
    <t xml:space="preserve">ARES</t>
  </si>
  <si>
    <t xml:space="preserve">Labcorp</t>
  </si>
  <si>
    <t xml:space="preserve">LH</t>
  </si>
  <si>
    <t xml:space="preserve">GE HealthCare</t>
  </si>
  <si>
    <t xml:space="preserve">GEHC</t>
  </si>
  <si>
    <t xml:space="preserve">Vici Properties</t>
  </si>
  <si>
    <t xml:space="preserve">VICI</t>
  </si>
  <si>
    <t xml:space="preserve">Deckers Brands</t>
  </si>
  <si>
    <t xml:space="preserve">DECK</t>
  </si>
  <si>
    <t xml:space="preserve">Accenture</t>
  </si>
  <si>
    <t xml:space="preserve">ACN</t>
  </si>
  <si>
    <t xml:space="preserve">Danaher Corporation</t>
  </si>
  <si>
    <t xml:space="preserve">DHR</t>
  </si>
  <si>
    <t xml:space="preserve">Becton Dickinson</t>
  </si>
  <si>
    <t xml:space="preserve">BDX</t>
  </si>
  <si>
    <t xml:space="preserve">TJX Companies</t>
  </si>
  <si>
    <t xml:space="preserve">TJX</t>
  </si>
  <si>
    <t xml:space="preserve">Akamai Technologies</t>
  </si>
  <si>
    <t xml:space="preserve">AKAM</t>
  </si>
  <si>
    <t xml:space="preserve">Baxter International</t>
  </si>
  <si>
    <t xml:space="preserve">BAX</t>
  </si>
  <si>
    <t xml:space="preserve">Carnival Corporation</t>
  </si>
  <si>
    <t xml:space="preserve">CCL</t>
  </si>
  <si>
    <t xml:space="preserve">Target Corporation</t>
  </si>
  <si>
    <t xml:space="preserve">TGT</t>
  </si>
  <si>
    <t xml:space="preserve">Dollar General</t>
  </si>
  <si>
    <t xml:space="preserve">DG</t>
  </si>
  <si>
    <t xml:space="preserve">DaVita</t>
  </si>
  <si>
    <t xml:space="preserve">DVA</t>
  </si>
  <si>
    <t xml:space="preserve">Truist Financial</t>
  </si>
  <si>
    <t xml:space="preserve">TFC</t>
  </si>
  <si>
    <t xml:space="preserve">Cencora</t>
  </si>
  <si>
    <t xml:space="preserve">COR</t>
  </si>
  <si>
    <t xml:space="preserve">Merck &amp; Co.</t>
  </si>
  <si>
    <t xml:space="preserve">MRK</t>
  </si>
  <si>
    <t xml:space="preserve">J.M. Smucker Company (The)</t>
  </si>
  <si>
    <t xml:space="preserve">SJM</t>
  </si>
  <si>
    <t xml:space="preserve">Schlumberger</t>
  </si>
  <si>
    <t xml:space="preserve">SLB</t>
  </si>
  <si>
    <t xml:space="preserve">Colgate-Palmolive</t>
  </si>
  <si>
    <t xml:space="preserve">CL</t>
  </si>
  <si>
    <t xml:space="preserve">Viatris</t>
  </si>
  <si>
    <t xml:space="preserve">VTRS</t>
  </si>
  <si>
    <t xml:space="preserve">Marriott International</t>
  </si>
  <si>
    <t xml:space="preserve">MAR</t>
  </si>
  <si>
    <t xml:space="preserve">Deere &amp; Company</t>
  </si>
  <si>
    <t xml:space="preserve">DE</t>
  </si>
  <si>
    <t xml:space="preserve">Illumina, Inc.</t>
  </si>
  <si>
    <t xml:space="preserve">ILMN</t>
  </si>
  <si>
    <t xml:space="preserve">Atmos Energy</t>
  </si>
  <si>
    <t xml:space="preserve">ATO</t>
  </si>
  <si>
    <t xml:space="preserve">Zimmer Biomet</t>
  </si>
  <si>
    <t xml:space="preserve">ZBH</t>
  </si>
  <si>
    <t xml:space="preserve">PayPal</t>
  </si>
  <si>
    <t xml:space="preserve">PYPL</t>
  </si>
  <si>
    <t xml:space="preserve">Sysco</t>
  </si>
  <si>
    <t xml:space="preserve">SYY</t>
  </si>
  <si>
    <t xml:space="preserve">Jack Henry &amp; Associates</t>
  </si>
  <si>
    <t xml:space="preserve">JKHY</t>
  </si>
  <si>
    <t xml:space="preserve">American Tower</t>
  </si>
  <si>
    <t xml:space="preserve">AMT</t>
  </si>
  <si>
    <t xml:space="preserve">NiSource</t>
  </si>
  <si>
    <t xml:space="preserve">NI</t>
  </si>
  <si>
    <t xml:space="preserve">Republic Services</t>
  </si>
  <si>
    <t xml:space="preserve">RSG</t>
  </si>
  <si>
    <t xml:space="preserve">Air Products</t>
  </si>
  <si>
    <t xml:space="preserve">APD</t>
  </si>
  <si>
    <t xml:space="preserve">Cognizant</t>
  </si>
  <si>
    <t xml:space="preserve">CTSH</t>
  </si>
  <si>
    <t xml:space="preserve">Mettler Toledo</t>
  </si>
  <si>
    <t xml:space="preserve">MTD</t>
  </si>
  <si>
    <t xml:space="preserve">Extra Space Storage</t>
  </si>
  <si>
    <t xml:space="preserve">EXR</t>
  </si>
  <si>
    <t xml:space="preserve">Evergy</t>
  </si>
  <si>
    <t xml:space="preserve">EVRG</t>
  </si>
  <si>
    <t xml:space="preserve">Moderna</t>
  </si>
  <si>
    <t xml:space="preserve">MRNA</t>
  </si>
  <si>
    <t xml:space="preserve">Verisk Analytics</t>
  </si>
  <si>
    <t xml:space="preserve">VRSK</t>
  </si>
  <si>
    <t xml:space="preserve">Align Technology</t>
  </si>
  <si>
    <t xml:space="preserve">ALGN</t>
  </si>
  <si>
    <t xml:space="preserve">Domino's</t>
  </si>
  <si>
    <t xml:space="preserve">DPZ</t>
  </si>
  <si>
    <t xml:space="preserve">Honeywell Technologies</t>
  </si>
  <si>
    <t xml:space="preserve">HON</t>
  </si>
  <si>
    <t xml:space="preserve">PPL Corporation</t>
  </si>
  <si>
    <t xml:space="preserve">PPL</t>
  </si>
  <si>
    <t xml:space="preserve">Snap-on</t>
  </si>
  <si>
    <t xml:space="preserve">SNA</t>
  </si>
  <si>
    <t xml:space="preserve">M&amp;T Bank</t>
  </si>
  <si>
    <t xml:space="preserve">MTB</t>
  </si>
  <si>
    <t xml:space="preserve">Essex Property Trust</t>
  </si>
  <si>
    <t xml:space="preserve">ESS</t>
  </si>
  <si>
    <t xml:space="preserve">DuPont</t>
  </si>
  <si>
    <t xml:space="preserve">DD</t>
  </si>
  <si>
    <t xml:space="preserve">Waste Management</t>
  </si>
  <si>
    <t xml:space="preserve">WM</t>
  </si>
  <si>
    <t xml:space="preserve">McDonald's</t>
  </si>
  <si>
    <t xml:space="preserve">MCD</t>
  </si>
  <si>
    <t xml:space="preserve">Halliburton</t>
  </si>
  <si>
    <t xml:space="preserve">HAL</t>
  </si>
  <si>
    <t xml:space="preserve">Best Buy</t>
  </si>
  <si>
    <t xml:space="preserve">BBY</t>
  </si>
  <si>
    <t xml:space="preserve">Loews Corporation</t>
  </si>
  <si>
    <t xml:space="preserve">L</t>
  </si>
  <si>
    <t xml:space="preserve">Host Hotels &amp; Resorts</t>
  </si>
  <si>
    <t xml:space="preserve">HST</t>
  </si>
  <si>
    <t xml:space="preserve">BXP, Inc.</t>
  </si>
  <si>
    <t xml:space="preserve">BXP</t>
  </si>
  <si>
    <t xml:space="preserve">Kenvue</t>
  </si>
  <si>
    <t xml:space="preserve">KVUE</t>
  </si>
  <si>
    <t xml:space="preserve">Textron</t>
  </si>
  <si>
    <t xml:space="preserve">TXT</t>
  </si>
  <si>
    <t xml:space="preserve">W. R. Berkley Corporation</t>
  </si>
  <si>
    <t xml:space="preserve">WRB</t>
  </si>
  <si>
    <t xml:space="preserve">Public Storage</t>
  </si>
  <si>
    <t xml:space="preserve">PSA</t>
  </si>
  <si>
    <t xml:space="preserve">WEC Energy Group</t>
  </si>
  <si>
    <t xml:space="preserve">WEC</t>
  </si>
  <si>
    <t xml:space="preserve">Pfizer</t>
  </si>
  <si>
    <t xml:space="preserve">PFE</t>
  </si>
  <si>
    <t xml:space="preserve">3M</t>
  </si>
  <si>
    <t xml:space="preserve">MMM</t>
  </si>
  <si>
    <t xml:space="preserve">Aptiv</t>
  </si>
  <si>
    <t xml:space="preserve">APTV</t>
  </si>
  <si>
    <t xml:space="preserve">SBA Communications</t>
  </si>
  <si>
    <t xml:space="preserve">SBAC</t>
  </si>
  <si>
    <t xml:space="preserve">Vivmark Residential</t>
  </si>
  <si>
    <t xml:space="preserve">VMRK</t>
  </si>
  <si>
    <t xml:space="preserve">AT&amp;T</t>
  </si>
  <si>
    <t xml:space="preserve">T</t>
  </si>
  <si>
    <t xml:space="preserve">Aon plc</t>
  </si>
  <si>
    <t xml:space="preserve">AON</t>
  </si>
  <si>
    <t xml:space="preserve">Kroger</t>
  </si>
  <si>
    <t xml:space="preserve">KR</t>
  </si>
  <si>
    <t xml:space="preserve">Take-Two Interactive</t>
  </si>
  <si>
    <t xml:space="preserve">TTWO</t>
  </si>
  <si>
    <t xml:space="preserve">Synchrony Financial</t>
  </si>
  <si>
    <t xml:space="preserve">SYF</t>
  </si>
  <si>
    <t xml:space="preserve">International Flavors &amp; Fragrances</t>
  </si>
  <si>
    <t xml:space="preserve">IFF</t>
  </si>
  <si>
    <t xml:space="preserve">Erie Indemnity</t>
  </si>
  <si>
    <t xml:space="preserve">ERIE</t>
  </si>
  <si>
    <t xml:space="preserve">Xylem Inc.</t>
  </si>
  <si>
    <t xml:space="preserve">XYL</t>
  </si>
  <si>
    <t xml:space="preserve">Procter &amp; Gamble</t>
  </si>
  <si>
    <t xml:space="preserve">PG</t>
  </si>
  <si>
    <t xml:space="preserve">Elevance Health</t>
  </si>
  <si>
    <t xml:space="preserve">ELV</t>
  </si>
  <si>
    <t xml:space="preserve">Bio-Techne</t>
  </si>
  <si>
    <t xml:space="preserve">TECH</t>
  </si>
  <si>
    <t xml:space="preserve">Revvity</t>
  </si>
  <si>
    <t xml:space="preserve">RVTY</t>
  </si>
  <si>
    <t xml:space="preserve">General Mills</t>
  </si>
  <si>
    <t xml:space="preserve">GIS</t>
  </si>
  <si>
    <t xml:space="preserve">Smurfit Westrock</t>
  </si>
  <si>
    <t xml:space="preserve">SW</t>
  </si>
  <si>
    <t xml:space="preserve">Duke Energy</t>
  </si>
  <si>
    <t xml:space="preserve">DUK</t>
  </si>
  <si>
    <t xml:space="preserve">IBM</t>
  </si>
  <si>
    <t xml:space="preserve">MGM Resorts</t>
  </si>
  <si>
    <t xml:space="preserve">MGM</t>
  </si>
  <si>
    <t xml:space="preserve">Mid-America Apartment Communities</t>
  </si>
  <si>
    <t xml:space="preserve">MAA</t>
  </si>
  <si>
    <t xml:space="preserve">CME Group</t>
  </si>
  <si>
    <t xml:space="preserve">CME</t>
  </si>
  <si>
    <t xml:space="preserve">American International Group</t>
  </si>
  <si>
    <t xml:space="preserve">AIG</t>
  </si>
  <si>
    <t xml:space="preserve">Kimberly-Clark</t>
  </si>
  <si>
    <t xml:space="preserve">KMB</t>
  </si>
  <si>
    <t xml:space="preserve">Cooper Companies (The)</t>
  </si>
  <si>
    <t xml:space="preserve">COO</t>
  </si>
  <si>
    <t xml:space="preserve">Stanley Black &amp; Decker</t>
  </si>
  <si>
    <t xml:space="preserve">SWK</t>
  </si>
  <si>
    <t xml:space="preserve">UnitedHealth Group</t>
  </si>
  <si>
    <t xml:space="preserve">UNH</t>
  </si>
  <si>
    <t xml:space="preserve">Travelers Companies (The)</t>
  </si>
  <si>
    <t xml:space="preserve">TRV</t>
  </si>
  <si>
    <t xml:space="preserve">Church &amp; Dwight</t>
  </si>
  <si>
    <t xml:space="preserve">CHD</t>
  </si>
  <si>
    <t xml:space="preserve">Regions Financial Corporation</t>
  </si>
  <si>
    <t xml:space="preserve">RF</t>
  </si>
  <si>
    <t xml:space="preserve">PG&amp;E Corporation</t>
  </si>
  <si>
    <t xml:space="preserve">PCG</t>
  </si>
  <si>
    <t xml:space="preserve">Southern Company</t>
  </si>
  <si>
    <t xml:space="preserve">SO</t>
  </si>
  <si>
    <t xml:space="preserve">UDR, Inc.</t>
  </si>
  <si>
    <t xml:space="preserve">UDR</t>
  </si>
  <si>
    <t xml:space="preserve">Sempra</t>
  </si>
  <si>
    <t xml:space="preserve">SRE</t>
  </si>
  <si>
    <t xml:space="preserve">Tyson Foods</t>
  </si>
  <si>
    <t xml:space="preserve">TSN</t>
  </si>
  <si>
    <t xml:space="preserve">Zoetis</t>
  </si>
  <si>
    <t xml:space="preserve">ZTS</t>
  </si>
  <si>
    <t xml:space="preserve">Camden Property Trust</t>
  </si>
  <si>
    <t xml:space="preserve">CPT</t>
  </si>
  <si>
    <t xml:space="preserve">CMS Energy</t>
  </si>
  <si>
    <t xml:space="preserve">CMS</t>
  </si>
  <si>
    <t xml:space="preserve">Aflac</t>
  </si>
  <si>
    <t xml:space="preserve">AFL</t>
  </si>
  <si>
    <t xml:space="preserve">Las Vegas Sands</t>
  </si>
  <si>
    <t xml:space="preserve">LVS</t>
  </si>
  <si>
    <t xml:space="preserve">Verizon</t>
  </si>
  <si>
    <t xml:space="preserve">VZ</t>
  </si>
  <si>
    <t xml:space="preserve">C.H. Robinson</t>
  </si>
  <si>
    <t xml:space="preserve">CHRW</t>
  </si>
  <si>
    <t xml:space="preserve">Weyerhaeuser</t>
  </si>
  <si>
    <t xml:space="preserve">WY</t>
  </si>
  <si>
    <t xml:space="preserve">Nike, Inc.</t>
  </si>
  <si>
    <t xml:space="preserve">NKE</t>
  </si>
  <si>
    <t xml:space="preserve">Comcast</t>
  </si>
  <si>
    <t xml:space="preserve">CMCSA</t>
  </si>
  <si>
    <t xml:space="preserve">Brown–Forman</t>
  </si>
  <si>
    <t xml:space="preserve">BF-B</t>
  </si>
  <si>
    <t xml:space="preserve">Starbucks</t>
  </si>
  <si>
    <t xml:space="preserve">SBUX</t>
  </si>
  <si>
    <t xml:space="preserve">Kraft Heinz</t>
  </si>
  <si>
    <t xml:space="preserve">KHC</t>
  </si>
  <si>
    <t xml:space="preserve">Charter Communications</t>
  </si>
  <si>
    <t xml:space="preserve">CHTR</t>
  </si>
  <si>
    <t xml:space="preserve">International Paper</t>
  </si>
  <si>
    <t xml:space="preserve">IP</t>
  </si>
  <si>
    <t xml:space="preserve">Hormel Foods</t>
  </si>
  <si>
    <t xml:space="preserve">HRL</t>
  </si>
  <si>
    <t xml:space="preserve">Baker Hughes</t>
  </si>
  <si>
    <t xml:space="preserve">BKR</t>
  </si>
  <si>
    <t xml:space="preserve">Masco</t>
  </si>
  <si>
    <t xml:space="preserve">MAS</t>
  </si>
  <si>
    <t xml:space="preserve">Skyworks Solutions</t>
  </si>
  <si>
    <t xml:space="preserve">SWKS</t>
  </si>
  <si>
    <t xml:space="preserve">First Solar</t>
  </si>
  <si>
    <t xml:space="preserve">FSLR</t>
  </si>
  <si>
    <t xml:space="preserve">EQT Corporation</t>
  </si>
  <si>
    <t xml:space="preserve">EQT</t>
  </si>
  <si>
    <t xml:space="preserve">EchoStar</t>
  </si>
  <si>
    <t xml:space="preserve">ECHO</t>
  </si>
  <si>
    <t xml:space="preserve">Qualcomm</t>
  </si>
  <si>
    <t xml:space="preserve">QCOM</t>
  </si>
  <si>
    <t xml:space="preserve">Fiserv</t>
  </si>
  <si>
    <t xml:space="preserve">FISV</t>
  </si>
  <si>
    <t xml:space="preserve">Edison International</t>
  </si>
  <si>
    <t xml:space="preserve">EIX</t>
  </si>
  <si>
    <t xml:space="preserve">Lululemon Athletica</t>
  </si>
  <si>
    <t xml:space="preserve">LULU</t>
  </si>
  <si>
    <t xml:space="preserve">Crown Castle</t>
  </si>
  <si>
    <t xml:space="preserve">CCI</t>
  </si>
  <si>
    <t xml:space="preserve">Xcel Energy</t>
  </si>
  <si>
    <t xml:space="preserve">XEL</t>
  </si>
  <si>
    <t xml:space="preserve">Vistra Corp.</t>
  </si>
  <si>
    <t xml:space="preserve">VST</t>
  </si>
  <si>
    <t xml:space="preserve">Mosaic Company (The)</t>
  </si>
  <si>
    <t xml:space="preserve">MOS</t>
  </si>
  <si>
    <t xml:space="preserve">PTC Inc.</t>
  </si>
  <si>
    <t xml:space="preserve">PTC</t>
  </si>
  <si>
    <t xml:space="preserve">Public Service Enterprise Group</t>
  </si>
  <si>
    <t xml:space="preserve">PEG</t>
  </si>
  <si>
    <t xml:space="preserve">Arch Capital Group</t>
  </si>
  <si>
    <t xml:space="preserve">ACGL</t>
  </si>
  <si>
    <t xml:space="preserve">Warner Bros. Discovery</t>
  </si>
  <si>
    <t xml:space="preserve">WBD</t>
  </si>
  <si>
    <t xml:space="preserve">Everest Group</t>
  </si>
  <si>
    <t xml:space="preserve">EG</t>
  </si>
  <si>
    <t xml:space="preserve">Alexandria Real Estate Equities</t>
  </si>
  <si>
    <t xml:space="preserve">ARE</t>
  </si>
  <si>
    <t xml:space="preserve">Paramount Skydance Corporation</t>
  </si>
  <si>
    <t xml:space="preserve">PSKY</t>
  </si>
  <si>
    <t xml:space="preserve">Pentair</t>
  </si>
  <si>
    <t xml:space="preserve">PNR</t>
  </si>
  <si>
    <t xml:space="preserve">Coinbase</t>
  </si>
  <si>
    <t xml:space="preserve">COIN</t>
  </si>
  <si>
    <t xml:space="preserve">Expand Energy</t>
  </si>
  <si>
    <t xml:space="preserve">EXE</t>
  </si>
  <si>
    <t xml:space="preserve">FedEx Freight</t>
  </si>
  <si>
    <t xml:space="preserve">FDXF</t>
  </si>
  <si>
    <t xml:space="preserve">2025-11-30</t>
  </si>
  <si>
    <t xml:space="preserve">Honeywell Aerospace</t>
  </si>
  <si>
    <t xml:space="preserve">HONA</t>
  </si>
  <si>
    <t xml:space="preserve">Kimco Realty</t>
  </si>
  <si>
    <t xml:space="preserve">KIM</t>
  </si>
  <si>
    <r>
      <rPr>
        <b val="true"/>
        <sz val="12"/>
        <rFont val="Cambria"/>
        <family val="0"/>
        <charset val="1"/>
      </rPr>
      <t xml:space="preserve">S&amp;P 500 </t>
    </r>
    <r>
      <rPr>
        <b val="true"/>
        <sz val="12"/>
        <rFont val="WenQuanYi Zen Hei"/>
        <family val="2"/>
      </rPr>
      <t xml:space="preserve">최근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WenQuanYi Zen Hei"/>
        <family val="2"/>
      </rPr>
      <t xml:space="preserve">년 주가수익률 분석 </t>
    </r>
    <r>
      <rPr>
        <b val="true"/>
        <sz val="12"/>
        <rFont val="Cambria"/>
        <family val="0"/>
        <charset val="1"/>
      </rPr>
      <t xml:space="preserve">(2025-09-24 </t>
    </r>
    <r>
      <rPr>
        <b val="true"/>
        <sz val="12"/>
        <rFont val="WenQuanYi Zen Hei"/>
        <family val="2"/>
      </rPr>
      <t xml:space="preserve">종가 → </t>
    </r>
    <r>
      <rPr>
        <b val="true"/>
        <sz val="12"/>
        <rFont val="Cambria"/>
        <family val="0"/>
        <charset val="1"/>
      </rPr>
      <t xml:space="preserve">2026-09-23 </t>
    </r>
    <r>
      <rPr>
        <b val="true"/>
        <sz val="12"/>
        <rFont val="WenQuanYi Zen Hei"/>
        <family val="2"/>
      </rPr>
      <t xml:space="preserve">종가</t>
    </r>
    <r>
      <rPr>
        <b val="true"/>
        <sz val="12"/>
        <rFont val="Cambria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</si>
  <si>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</si>
  <si>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</si>
  <si>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</si>
  <si>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t xml:space="preserve">수익률 계산 종목 수</t>
  </si>
  <si>
    <r>
      <rPr>
        <sz val="11"/>
        <color theme="1"/>
        <rFont val="WenQuanYi Zen Hei"/>
        <family val="2"/>
      </rPr>
      <t xml:space="preserve">시작일 이전 상장 종목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이후 상장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분사 종목 제외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</si>
  <si>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S&amp;P 500 </t>
    </r>
    <r>
      <rPr>
        <sz val="11"/>
        <color theme="1"/>
        <rFont val="WenQuanYi Zen Hei"/>
        <family val="2"/>
      </rPr>
      <t xml:space="preserve">지수 수익률 </t>
    </r>
    <r>
      <rPr>
        <sz val="11"/>
        <color theme="1"/>
        <rFont val="Calibri"/>
        <family val="2"/>
        <charset val="1"/>
      </rPr>
      <t xml:space="preserve">(^GSPC)</t>
    </r>
  </si>
  <si>
    <r>
      <rPr>
        <sz val="11"/>
        <color theme="1"/>
        <rFont val="WenQuanYi Zen Hei"/>
        <family val="2"/>
      </rPr>
      <t xml:space="preserve">지수 종가 </t>
    </r>
    <r>
      <rPr>
        <sz val="11"/>
        <color theme="1"/>
        <rFont val="Calibri"/>
        <family val="2"/>
        <charset val="1"/>
      </rPr>
      <t xml:space="preserve">6,637.97 → 7,706.03 (Yahoo)</t>
    </r>
  </si>
  <si>
    <r>
      <rPr>
        <sz val="11"/>
        <color theme="1"/>
        <rFont val="WenQuanYi Zen Hei"/>
        <family val="2"/>
      </rPr>
      <t xml:space="preserve">종목 수익률 평균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동일가중</t>
    </r>
    <r>
      <rPr>
        <sz val="11"/>
        <color theme="1"/>
        <rFont val="Calibri"/>
        <family val="2"/>
        <charset val="1"/>
      </rPr>
      <t xml:space="preserve">)</t>
    </r>
  </si>
  <si>
    <t xml:space="preserve">종목 수익률 중앙값</t>
  </si>
  <si>
    <t xml:space="preserve">상승 종목 비율</t>
  </si>
  <si>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WenQuanYi Zen Hei"/>
        <family val="2"/>
      </rPr>
      <t xml:space="preserve">이상 종목 수</t>
    </r>
  </si>
  <si>
    <r>
      <rPr>
        <sz val="11"/>
        <color theme="1"/>
        <rFont val="Calibri"/>
        <family val="2"/>
        <charset val="1"/>
      </rPr>
      <t xml:space="preserve">+100% </t>
    </r>
    <r>
      <rPr>
        <sz val="11"/>
        <color theme="1"/>
        <rFont val="WenQuanYi Zen Hei"/>
        <family val="2"/>
      </rPr>
      <t xml:space="preserve">이상 종목 수</t>
    </r>
  </si>
  <si>
    <t xml:space="preserve">섹터별 수익률</t>
  </si>
  <si>
    <t xml:space="preserve">종목 수</t>
  </si>
  <si>
    <t xml:space="preserve">평균 수익률</t>
  </si>
  <si>
    <t xml:space="preserve">중앙값 수익률</t>
  </si>
  <si>
    <r>
      <rPr>
        <b val="true"/>
        <sz val="11"/>
        <rFont val="Cambria"/>
        <family val="0"/>
        <charset val="1"/>
      </rPr>
      <t xml:space="preserve">+50% </t>
    </r>
    <r>
      <rPr>
        <b val="true"/>
        <sz val="11"/>
        <rFont val="WenQuanYi Zen Hei"/>
        <family val="2"/>
      </rPr>
      <t xml:space="preserve">이상 종목 수</t>
    </r>
  </si>
  <si>
    <r>
      <rPr>
        <b val="true"/>
        <sz val="11"/>
        <rFont val="Cambria"/>
        <family val="0"/>
        <charset val="1"/>
      </rPr>
      <t xml:space="preserve">+50% </t>
    </r>
    <r>
      <rPr>
        <b val="true"/>
        <sz val="11"/>
        <rFont val="WenQuanYi Zen Hei"/>
        <family val="2"/>
      </rPr>
      <t xml:space="preserve">이상 비율</t>
    </r>
  </si>
  <si>
    <r>
      <rPr>
        <b val="true"/>
        <sz val="11"/>
        <rFont val="WenQuanYi Zen Hei"/>
        <family val="2"/>
      </rPr>
      <t xml:space="preserve">중앙값 매출 </t>
    </r>
    <r>
      <rPr>
        <b val="true"/>
        <sz val="11"/>
        <rFont val="Cambria"/>
        <family val="0"/>
        <charset val="1"/>
      </rPr>
      <t xml:space="preserve">YoY(</t>
    </r>
    <r>
      <rPr>
        <b val="true"/>
        <sz val="11"/>
        <rFont val="WenQuanYi Zen Hei"/>
        <family val="2"/>
      </rPr>
      <t xml:space="preserve">현재</t>
    </r>
    <r>
      <rPr>
        <b val="true"/>
        <sz val="11"/>
        <rFont val="Cambria"/>
        <family val="0"/>
        <charset val="1"/>
      </rPr>
      <t xml:space="preserve">)</t>
    </r>
  </si>
  <si>
    <r>
      <rPr>
        <i val="true"/>
        <sz val="11"/>
        <rFont val="WenQuanYi Zen Hei"/>
        <family val="2"/>
      </rPr>
      <t xml:space="preserve">※ 섹터 행은 필터로 정렬 가능</t>
    </r>
    <r>
      <rPr>
        <i val="true"/>
        <sz val="11"/>
        <rFont val="Cambria"/>
        <family val="0"/>
        <charset val="1"/>
      </rPr>
      <t xml:space="preserve">. </t>
    </r>
    <r>
      <rPr>
        <i val="true"/>
        <sz val="11"/>
        <rFont val="WenQuanYi Zen Hei"/>
        <family val="2"/>
      </rPr>
      <t xml:space="preserve">평균은 극단값 영향이 크므로 중앙값을 함께 볼 것</t>
    </r>
  </si>
  <si>
    <r>
      <rPr>
        <b val="true"/>
        <sz val="12"/>
        <rFont val="WenQuanYi Zen Hei"/>
        <family val="2"/>
      </rPr>
      <t xml:space="preserve">수익률 </t>
    </r>
    <r>
      <rPr>
        <b val="true"/>
        <sz val="12"/>
        <rFont val="Cambria"/>
        <family val="0"/>
        <charset val="1"/>
      </rPr>
      <t xml:space="preserve">5</t>
    </r>
    <r>
      <rPr>
        <b val="true"/>
        <sz val="12"/>
        <rFont val="WenQuanYi Zen Hei"/>
        <family val="2"/>
      </rPr>
      <t xml:space="preserve">분위별 특징 </t>
    </r>
    <r>
      <rPr>
        <b val="true"/>
        <sz val="12"/>
        <rFont val="Cambria"/>
        <family val="0"/>
        <charset val="1"/>
      </rPr>
      <t xml:space="preserve">(1</t>
    </r>
    <r>
      <rPr>
        <b val="true"/>
        <sz val="12"/>
        <rFont val="WenQuanYi Zen Hei"/>
        <family val="2"/>
      </rPr>
      <t xml:space="preserve">분위 </t>
    </r>
    <r>
      <rPr>
        <b val="true"/>
        <sz val="12"/>
        <rFont val="Cambria"/>
        <family val="0"/>
        <charset val="1"/>
      </rPr>
      <t xml:space="preserve">= </t>
    </r>
    <r>
      <rPr>
        <b val="true"/>
        <sz val="12"/>
        <rFont val="WenQuanYi Zen Hei"/>
        <family val="2"/>
      </rPr>
      <t xml:space="preserve">수익률 상위 </t>
    </r>
    <r>
      <rPr>
        <b val="true"/>
        <sz val="12"/>
        <rFont val="Cambria"/>
        <family val="0"/>
        <charset val="1"/>
      </rPr>
      <t xml:space="preserve">20%)</t>
    </r>
  </si>
  <si>
    <t xml:space="preserve">분위</t>
  </si>
  <si>
    <t xml:space="preserve">수익률 하한</t>
  </si>
  <si>
    <t xml:space="preserve">수익률 상한</t>
  </si>
  <si>
    <r>
      <rPr>
        <b val="true"/>
        <sz val="11"/>
        <rFont val="WenQuanYi Zen Hei"/>
        <family val="2"/>
      </rPr>
      <t xml:space="preserve">중앙값 영업이익 </t>
    </r>
    <r>
      <rPr>
        <b val="true"/>
        <sz val="11"/>
        <rFont val="Cambria"/>
        <family val="0"/>
        <charset val="1"/>
      </rPr>
      <t xml:space="preserve">YoY(</t>
    </r>
    <r>
      <rPr>
        <b val="true"/>
        <sz val="11"/>
        <rFont val="WenQuanYi Zen Hei"/>
        <family val="2"/>
      </rPr>
      <t xml:space="preserve">현재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</si>
  <si>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중앙값 최근 매출 </t>
    </r>
    <r>
      <rPr>
        <b val="true"/>
        <sz val="11"/>
        <rFont val="Cambria"/>
        <family val="0"/>
        <charset val="1"/>
      </rPr>
      <t xml:space="preserve">QoQ(</t>
    </r>
    <r>
      <rPr>
        <b val="true"/>
        <sz val="11"/>
        <rFont val="WenQuanYi Zen Hei"/>
        <family val="2"/>
      </rPr>
      <t xml:space="preserve">현재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</si>
  <si>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현재 선정</t>
    </r>
    <r>
      <rPr>
        <b val="true"/>
        <sz val="11"/>
        <rFont val="Cambria"/>
        <family val="0"/>
        <charset val="1"/>
      </rPr>
      <t xml:space="preserve">(①②) </t>
    </r>
    <r>
      <rPr>
        <b val="true"/>
        <sz val="11"/>
        <rFont val="WenQuanYi Zen Hei"/>
        <family val="2"/>
      </rPr>
      <t xml:space="preserve">비율</t>
    </r>
  </si>
  <si>
    <r>
      <rPr>
        <b val="true"/>
        <sz val="11"/>
        <rFont val="WenQuanYi Zen Hei"/>
        <family val="2"/>
      </rPr>
      <t xml:space="preserve">중앙값 매출 </t>
    </r>
    <r>
      <rPr>
        <b val="true"/>
        <sz val="11"/>
        <rFont val="Cambria"/>
        <family val="0"/>
        <charset val="1"/>
      </rPr>
      <t xml:space="preserve">YoY(2025-09-24)</t>
    </r>
  </si>
  <si>
    <r>
      <rPr>
        <b val="true"/>
        <sz val="11"/>
        <rFont val="Cambria"/>
        <family val="0"/>
        <charset val="1"/>
      </rPr>
      <t xml:space="preserve">2025-09-24 </t>
    </r>
    <r>
      <rPr>
        <b val="true"/>
        <sz val="11"/>
        <rFont val="WenQuanYi Zen Hei"/>
        <family val="2"/>
      </rPr>
      <t xml:space="preserve">선정</t>
    </r>
    <r>
      <rPr>
        <b val="true"/>
        <sz val="11"/>
        <rFont val="Cambria"/>
        <family val="0"/>
        <charset val="1"/>
      </rPr>
      <t xml:space="preserve">(①②) </t>
    </r>
    <r>
      <rPr>
        <b val="true"/>
        <sz val="11"/>
        <rFont val="WenQuanYi Zen Hei"/>
        <family val="2"/>
      </rPr>
      <t xml:space="preserve">비율</t>
    </r>
  </si>
  <si>
    <r>
      <rPr>
        <b val="true"/>
        <sz val="11"/>
        <rFont val="WenQuanYi Zen Hei"/>
        <family val="2"/>
      </rPr>
      <t xml:space="preserve">중앙값 매출 </t>
    </r>
    <r>
      <rPr>
        <b val="true"/>
        <sz val="11"/>
        <rFont val="Cambria"/>
        <family val="0"/>
        <charset val="1"/>
      </rPr>
      <t xml:space="preserve">YoY </t>
    </r>
    <r>
      <rPr>
        <b val="true"/>
        <sz val="11"/>
        <rFont val="WenQuanYi Zen Hei"/>
        <family val="2"/>
      </rPr>
      <t xml:space="preserve">변화</t>
    </r>
    <r>
      <rPr>
        <b val="true"/>
        <sz val="11"/>
        <rFont val="Cambria"/>
        <family val="0"/>
        <charset val="1"/>
      </rPr>
      <t xml:space="preserve">(%p)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</si>
  <si>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분위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</si>
  <si>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분위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</si>
  <si>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분위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</si>
  <si>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분위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</si>
  <si>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분위</t>
    </r>
  </si>
  <si>
    <r>
      <rPr>
        <i val="true"/>
        <sz val="11"/>
        <rFont val="WenQuanYi Zen Hei"/>
        <family val="2"/>
      </rPr>
      <t xml:space="preserve">※ 영업이익 </t>
    </r>
    <r>
      <rPr>
        <i val="true"/>
        <sz val="11"/>
        <rFont val="Cambria"/>
        <family val="0"/>
        <charset val="1"/>
      </rPr>
      <t xml:space="preserve">YoY </t>
    </r>
    <r>
      <rPr>
        <i val="true"/>
        <sz val="11"/>
        <rFont val="WenQuanYi Zen Hei"/>
        <family val="2"/>
      </rPr>
      <t xml:space="preserve">중앙값은 숫자 값만 사용 </t>
    </r>
    <r>
      <rPr>
        <i val="true"/>
        <sz val="11"/>
        <rFont val="Cambria"/>
        <family val="0"/>
        <charset val="1"/>
      </rPr>
      <t xml:space="preserve">('</t>
    </r>
    <r>
      <rPr>
        <i val="true"/>
        <sz val="11"/>
        <rFont val="WenQuanYi Zen Hei"/>
        <family val="2"/>
      </rPr>
      <t xml:space="preserve">흑자전환</t>
    </r>
    <r>
      <rPr>
        <i val="true"/>
        <sz val="11"/>
        <rFont val="Cambria"/>
        <family val="0"/>
        <charset val="1"/>
      </rPr>
      <t xml:space="preserve">'·'N/M' </t>
    </r>
    <r>
      <rPr>
        <i val="true"/>
        <sz val="11"/>
        <rFont val="WenQuanYi Zen Hei"/>
        <family val="2"/>
      </rPr>
      <t xml:space="preserve">등 제외</t>
    </r>
    <r>
      <rPr>
        <i val="true"/>
        <sz val="11"/>
        <rFont val="Cambria"/>
        <family val="0"/>
        <charset val="1"/>
      </rPr>
      <t xml:space="preserve">). '</t>
    </r>
    <r>
      <rPr>
        <i val="true"/>
        <sz val="11"/>
        <rFont val="WenQuanYi Zen Hei"/>
        <family val="2"/>
      </rPr>
      <t xml:space="preserve">현재</t>
    </r>
    <r>
      <rPr>
        <i val="true"/>
        <sz val="11"/>
        <rFont val="Cambria"/>
        <family val="0"/>
        <charset val="1"/>
      </rPr>
      <t xml:space="preserve">' = </t>
    </r>
    <r>
      <rPr>
        <i val="true"/>
        <sz val="11"/>
        <rFont val="WenQuanYi Zen Hei"/>
        <family val="2"/>
      </rPr>
      <t xml:space="preserve">이 파일의 최근 </t>
    </r>
    <r>
      <rPr>
        <i val="true"/>
        <sz val="11"/>
        <rFont val="Cambria"/>
        <family val="0"/>
        <charset val="1"/>
      </rPr>
      <t xml:space="preserve">5</t>
    </r>
    <r>
      <rPr>
        <i val="true"/>
        <sz val="11"/>
        <rFont val="WenQuanYi Zen Hei"/>
        <family val="2"/>
      </rPr>
      <t xml:space="preserve">개 분기</t>
    </r>
    <r>
      <rPr>
        <i val="true"/>
        <sz val="11"/>
        <rFont val="Cambria"/>
        <family val="0"/>
        <charset val="1"/>
      </rPr>
      <t xml:space="preserve">, 1</t>
    </r>
    <r>
      <rPr>
        <i val="true"/>
        <sz val="11"/>
        <rFont val="WenQuanYi Zen Hei"/>
        <family val="2"/>
      </rPr>
      <t xml:space="preserve">년 전 </t>
    </r>
    <r>
      <rPr>
        <i val="true"/>
        <sz val="11"/>
        <rFont val="Cambria"/>
        <family val="0"/>
        <charset val="1"/>
      </rPr>
      <t xml:space="preserve">= SEC </t>
    </r>
    <r>
      <rPr>
        <i val="true"/>
        <sz val="11"/>
        <rFont val="WenQuanYi Zen Hei"/>
        <family val="2"/>
      </rPr>
      <t xml:space="preserve">제출 자료 기준 당시 최근 </t>
    </r>
    <r>
      <rPr>
        <i val="true"/>
        <sz val="11"/>
        <rFont val="Cambria"/>
        <family val="0"/>
        <charset val="1"/>
      </rPr>
      <t xml:space="preserve">5</t>
    </r>
    <r>
      <rPr>
        <i val="true"/>
        <sz val="11"/>
        <rFont val="WenQuanYi Zen Hei"/>
        <family val="2"/>
      </rPr>
      <t xml:space="preserve">개 분기</t>
    </r>
  </si>
  <si>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WenQuanYi Zen Hei"/>
        <family val="2"/>
      </rPr>
      <t xml:space="preserve">년 주가수익률 상위 </t>
    </r>
    <r>
      <rPr>
        <b val="true"/>
        <sz val="12"/>
        <rFont val="Cambria"/>
        <family val="0"/>
        <charset val="1"/>
      </rPr>
      <t xml:space="preserve">30 </t>
    </r>
    <r>
      <rPr>
        <b val="true"/>
        <sz val="12"/>
        <rFont val="WenQuanYi Zen Hei"/>
        <family val="2"/>
      </rPr>
      <t xml:space="preserve">종목</t>
    </r>
  </si>
  <si>
    <t xml:space="preserve">순위</t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</si>
  <si>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YoY(</t>
    </r>
    <r>
      <rPr>
        <b val="true"/>
        <sz val="11"/>
        <rFont val="WenQuanYi Zen Hei"/>
        <family val="2"/>
      </rPr>
      <t xml:space="preserve">현재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</si>
  <si>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최근 </t>
    </r>
    <r>
      <rPr>
        <b val="true"/>
        <sz val="11"/>
        <rFont val="Cambria"/>
        <family val="0"/>
        <charset val="1"/>
      </rPr>
      <t xml:space="preserve">QoQ(</t>
    </r>
    <r>
      <rPr>
        <b val="true"/>
        <sz val="11"/>
        <rFont val="WenQuanYi Zen Hei"/>
        <family val="2"/>
      </rPr>
      <t xml:space="preserve">현재</t>
    </r>
    <r>
      <rPr>
        <b val="true"/>
        <sz val="11"/>
        <rFont val="Cambria"/>
        <family val="0"/>
        <charset val="1"/>
      </rPr>
      <t xml:space="preserve">)</t>
    </r>
  </si>
  <si>
    <t xml:space="preserve">현재 선정 기준</t>
  </si>
  <si>
    <r>
      <rPr>
        <b val="true"/>
        <sz val="11"/>
        <rFont val="WenQuanYi Zen Hei"/>
        <family val="2"/>
      </rPr>
      <t xml:space="preserve">매출 </t>
    </r>
    <r>
      <rPr>
        <b val="true"/>
        <sz val="11"/>
        <rFont val="Cambria"/>
        <family val="0"/>
        <charset val="1"/>
      </rPr>
      <t xml:space="preserve">YoY(2025-09-24)</t>
    </r>
  </si>
  <si>
    <r>
      <rPr>
        <b val="true"/>
        <sz val="11"/>
        <rFont val="Cambria"/>
        <family val="0"/>
        <charset val="1"/>
      </rPr>
      <t xml:space="preserve">2025-09-24 </t>
    </r>
    <r>
      <rPr>
        <b val="true"/>
        <sz val="11"/>
        <rFont val="WenQuanYi Zen Hei"/>
        <family val="2"/>
      </rPr>
      <t xml:space="preserve">선정 기준</t>
    </r>
  </si>
  <si>
    <r>
      <rPr>
        <sz val="11"/>
        <color theme="1"/>
        <rFont val="Calibri"/>
        <family val="2"/>
        <charset val="1"/>
      </rPr>
      <t xml:space="preserve">mRNA </t>
    </r>
    <r>
      <rPr>
        <sz val="11"/>
        <color theme="1"/>
        <rFont val="WenQuanYi Zen Hei"/>
        <family val="2"/>
      </rPr>
      <t xml:space="preserve">백신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치료제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코로나</t>
    </r>
    <r>
      <rPr>
        <sz val="11"/>
        <color theme="1"/>
        <rFont val="Calibri"/>
        <family val="2"/>
        <charset val="1"/>
      </rPr>
      <t xml:space="preserve">·RSV)</t>
    </r>
  </si>
  <si>
    <r>
      <rPr>
        <sz val="11"/>
        <color theme="1"/>
        <rFont val="Calibri"/>
        <family val="2"/>
        <charset val="1"/>
      </rPr>
      <t xml:space="preserve">PC·</t>
    </r>
    <r>
      <rPr>
        <sz val="11"/>
        <color theme="1"/>
        <rFont val="WenQuanYi Zen Hei"/>
        <family val="2"/>
      </rPr>
      <t xml:space="preserve">서버</t>
    </r>
    <r>
      <rPr>
        <sz val="11"/>
        <color theme="1"/>
        <rFont val="Calibri"/>
        <family val="2"/>
        <charset val="1"/>
      </rPr>
      <t xml:space="preserve">(AI </t>
    </r>
    <r>
      <rPr>
        <sz val="11"/>
        <color theme="1"/>
        <rFont val="WenQuanYi Zen Hei"/>
        <family val="2"/>
      </rPr>
      <t xml:space="preserve">서버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스토리지</t>
    </r>
  </si>
  <si>
    <r>
      <rPr>
        <sz val="11"/>
        <color theme="1"/>
        <rFont val="WenQuanYi Zen Hei"/>
        <family val="2"/>
      </rPr>
      <t xml:space="preserve">반도체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전자기기 자동 테스트 장비</t>
    </r>
    <r>
      <rPr>
        <sz val="11"/>
        <color theme="1"/>
        <rFont val="Calibri"/>
        <family val="2"/>
        <charset val="1"/>
      </rPr>
      <t xml:space="preserve">(ATE) </t>
    </r>
    <r>
      <rPr>
        <sz val="11"/>
        <color theme="1"/>
        <rFont val="WenQuanYi Zen Hei"/>
        <family val="2"/>
      </rPr>
      <t xml:space="preserve">및 협동로봇</t>
    </r>
  </si>
  <si>
    <r>
      <rPr>
        <sz val="11"/>
        <color theme="1"/>
        <rFont val="WenQuanYi Zen Hei"/>
        <family val="2"/>
      </rPr>
      <t xml:space="preserve">유전체 분석</t>
    </r>
    <r>
      <rPr>
        <sz val="11"/>
        <color theme="1"/>
        <rFont val="Calibri"/>
        <family val="2"/>
        <charset val="1"/>
      </rPr>
      <t xml:space="preserve">(DNA </t>
    </r>
    <r>
      <rPr>
        <sz val="11"/>
        <color theme="1"/>
        <rFont val="WenQuanYi Zen Hei"/>
        <family val="2"/>
      </rPr>
      <t xml:space="preserve">시퀀싱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장비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시약</t>
    </r>
  </si>
  <si>
    <r>
      <rPr>
        <sz val="11"/>
        <color theme="1"/>
        <rFont val="WenQuanYi Zen Hei"/>
        <family val="2"/>
      </rPr>
      <t xml:space="preserve">광통신 네트워크 장비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데이터센터 연결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해저케이블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</si>
  <si>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전자 계측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시험 장비 및 설계 소프트웨어</t>
    </r>
  </si>
  <si>
    <r>
      <rPr>
        <sz val="11"/>
        <color theme="1"/>
        <rFont val="WenQuanYi Zen Hei"/>
        <family val="2"/>
      </rPr>
      <t xml:space="preserve">특수유리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광섬유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디스플레이 유리</t>
    </r>
  </si>
  <si>
    <r>
      <rPr>
        <sz val="11"/>
        <color theme="1"/>
        <rFont val="WenQuanYi Zen Hei"/>
        <family val="2"/>
      </rPr>
      <t xml:space="preserve">항암 면역치료제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키트루다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WenQuanYi Zen Hei"/>
        <family val="2"/>
      </rPr>
      <t xml:space="preserve">백신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동물의약품</t>
    </r>
  </si>
  <si>
    <t xml:space="preserve">데이터 출처</t>
  </si>
  <si>
    <t xml:space="preserve">Yahoo Finance via yfinance (yf.Ticker(t).quarterly_income_stmt: Total Revenue / Operating Income)</t>
  </si>
  <si>
    <t xml:space="preserve">종목 리스트 출처</t>
  </si>
  <si>
    <t xml:space="preserve">https://en.wikipedia.org/wiki/List_of_S%26P_500_companies</t>
  </si>
  <si>
    <t xml:space="preserve">수집 일시</t>
  </si>
  <si>
    <t xml:space="preserve">2026-09-24 18:32:58 KST</t>
  </si>
  <si>
    <r>
      <rPr>
        <b val="true"/>
        <sz val="11"/>
        <rFont val="WenQuanYi Zen Hei"/>
        <family val="2"/>
      </rPr>
      <t xml:space="preserve">수집 성공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전체</t>
    </r>
  </si>
  <si>
    <t xml:space="preserve">503 / 503</t>
  </si>
  <si>
    <t xml:space="preserve">단위</t>
  </si>
  <si>
    <r>
      <rPr>
        <sz val="11"/>
        <color theme="1"/>
        <rFont val="WenQuanYi Zen Hei"/>
        <family val="2"/>
      </rPr>
      <t xml:space="preserve">매출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영업이익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백만 달러</t>
    </r>
    <r>
      <rPr>
        <sz val="11"/>
        <color theme="1"/>
        <rFont val="Calibri"/>
        <family val="2"/>
        <charset val="1"/>
      </rPr>
      <t xml:space="preserve">(USD mn), </t>
    </r>
    <r>
      <rPr>
        <sz val="11"/>
        <color theme="1"/>
        <rFont val="WenQuanYi Zen Hei"/>
        <family val="2"/>
      </rPr>
      <t xml:space="preserve">성장률</t>
    </r>
    <r>
      <rPr>
        <sz val="11"/>
        <color theme="1"/>
        <rFont val="Calibri"/>
        <family val="2"/>
        <charset val="1"/>
      </rPr>
      <t xml:space="preserve">: %</t>
    </r>
  </si>
  <si>
    <r>
      <rPr>
        <b val="true"/>
        <sz val="11"/>
        <rFont val="WenQuanYi Zen Hei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YoY </t>
    </r>
    <r>
      <rPr>
        <b val="true"/>
        <sz val="11"/>
        <rFont val="WenQuanYi Zen Hei"/>
        <family val="2"/>
      </rPr>
      <t xml:space="preserve">규칙</t>
    </r>
  </si>
  <si>
    <r>
      <rPr>
        <sz val="11"/>
        <color theme="1"/>
        <rFont val="Calibri"/>
        <family val="2"/>
        <charset val="1"/>
      </rPr>
      <t xml:space="preserve">Q-4 </t>
    </r>
    <r>
      <rPr>
        <sz val="11"/>
        <color theme="1"/>
        <rFont val="WenQuanYi Zen Hei"/>
        <family val="2"/>
      </rPr>
      <t xml:space="preserve">영업이익 ≤ </t>
    </r>
    <r>
      <rPr>
        <sz val="11"/>
        <color theme="1"/>
        <rFont val="Calibri"/>
        <family val="2"/>
        <charset val="1"/>
      </rPr>
      <t xml:space="preserve">0 → Q0 &gt; 0 </t>
    </r>
    <r>
      <rPr>
        <sz val="11"/>
        <color theme="1"/>
        <rFont val="WenQuanYi Zen Hei"/>
        <family val="2"/>
      </rPr>
      <t xml:space="preserve">이면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흑자전환</t>
    </r>
    <r>
      <rPr>
        <sz val="11"/>
        <color theme="1"/>
        <rFont val="Calibri"/>
        <family val="2"/>
        <charset val="1"/>
      </rPr>
      <t xml:space="preserve">', </t>
    </r>
    <r>
      <rPr>
        <sz val="11"/>
        <color theme="1"/>
        <rFont val="WenQuanYi Zen Hei"/>
        <family val="2"/>
      </rPr>
      <t xml:space="preserve">아니면 </t>
    </r>
    <r>
      <rPr>
        <sz val="11"/>
        <color theme="1"/>
        <rFont val="Calibri"/>
        <family val="2"/>
        <charset val="1"/>
      </rPr>
      <t xml:space="preserve">'N/M' / Q-4 &gt; 0 </t>
    </r>
    <r>
      <rPr>
        <sz val="11"/>
        <color theme="1"/>
        <rFont val="WenQuanYi Zen Hei"/>
        <family val="2"/>
      </rPr>
      <t xml:space="preserve">이고 </t>
    </r>
    <r>
      <rPr>
        <sz val="11"/>
        <color theme="1"/>
        <rFont val="Calibri"/>
        <family val="2"/>
        <charset val="1"/>
      </rPr>
      <t xml:space="preserve">Q0 &lt; 0 → '</t>
    </r>
    <r>
      <rPr>
        <sz val="11"/>
        <color theme="1"/>
        <rFont val="WenQuanYi Zen Hei"/>
        <family val="2"/>
      </rPr>
      <t xml:space="preserve">적자전환</t>
    </r>
    <r>
      <rPr>
        <sz val="11"/>
        <color theme="1"/>
        <rFont val="Calibri"/>
        <family val="2"/>
        <charset val="1"/>
      </rPr>
      <t xml:space="preserve">'</t>
    </r>
  </si>
  <si>
    <t xml:space="preserve">행 정렬 기준</t>
  </si>
  <si>
    <r>
      <rPr>
        <sz val="11"/>
        <color theme="1"/>
        <rFont val="WenQuanYi Zen Hei"/>
        <family val="2"/>
      </rPr>
      <t xml:space="preserve">① 초록</t>
    </r>
    <r>
      <rPr>
        <sz val="11"/>
        <color theme="1"/>
        <rFont val="Calibri"/>
        <family val="2"/>
        <charset val="1"/>
      </rPr>
      <t xml:space="preserve">: QoQ </t>
    </r>
    <r>
      <rPr>
        <sz val="11"/>
        <color theme="1"/>
        <rFont val="WenQuanYi Zen Hei"/>
        <family val="2"/>
      </rPr>
      <t xml:space="preserve">가속</t>
    </r>
    <r>
      <rPr>
        <sz val="11"/>
        <color theme="1"/>
        <rFont val="Calibri"/>
        <family val="2"/>
        <charset val="1"/>
      </rPr>
      <t xml:space="preserve">(QoQ(Q0)&gt;QoQ(Q-1)&gt;QoQ(Q-2)&gt;QoQ(Q-3)) </t>
    </r>
    <r>
      <rPr>
        <sz val="11"/>
        <color theme="1"/>
        <rFont val="WenQuanYi Zen Hei"/>
        <family val="2"/>
      </rPr>
      <t xml:space="preserve">이면서 최근 </t>
    </r>
    <r>
      <rPr>
        <sz val="11"/>
        <color theme="1"/>
        <rFont val="Calibri"/>
        <family val="2"/>
        <charset val="1"/>
      </rPr>
      <t xml:space="preserve">QoQ≥10% (11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 → ② </t>
    </r>
    <r>
      <rPr>
        <sz val="11"/>
        <color theme="1"/>
        <rFont val="WenQuanYi Zen Hei"/>
        <family val="2"/>
      </rPr>
      <t xml:space="preserve">노랑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둘 중 하나만 해당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가속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, QoQ≥10% 143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 — ①②</t>
    </r>
    <r>
      <rPr>
        <sz val="11"/>
        <color theme="1"/>
        <rFont val="WenQuanYi Zen Hei"/>
        <family val="2"/>
      </rPr>
      <t xml:space="preserve">는 최근 </t>
    </r>
    <r>
      <rPr>
        <sz val="11"/>
        <color theme="1"/>
        <rFont val="Calibri"/>
        <family val="2"/>
        <charset val="1"/>
      </rPr>
      <t xml:space="preserve">QoQ </t>
    </r>
    <r>
      <rPr>
        <sz val="11"/>
        <color theme="1"/>
        <rFont val="WenQuanYi Zen Hei"/>
        <family val="2"/>
      </rPr>
      <t xml:space="preserve">내림차순 → ③ 나머지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YoY </t>
    </r>
    <r>
      <rPr>
        <sz val="11"/>
        <color theme="1"/>
        <rFont val="WenQuanYi Zen Hei"/>
        <family val="2"/>
      </rPr>
      <t xml:space="preserve">내림차순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계산 불가는 맨 아래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주요 사업은 ①② 기업에 기재 </t>
    </r>
    <r>
      <rPr>
        <sz val="11"/>
        <color theme="1"/>
        <rFont val="Calibri"/>
        <family val="2"/>
        <charset val="1"/>
      </rPr>
      <t xml:space="preserve">(sp500_business_ko.csv, </t>
    </r>
    <r>
      <rPr>
        <sz val="11"/>
        <color theme="1"/>
        <rFont val="WenQuanYi Zen Hei"/>
        <family val="2"/>
      </rPr>
      <t xml:space="preserve">없으면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WenQuanYi Zen Hei"/>
        <family val="2"/>
      </rPr>
      <t xml:space="preserve">업종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</si>
  <si>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수집 실패 티커 </t>
    </r>
    <r>
      <rPr>
        <b val="true"/>
        <sz val="11"/>
        <rFont val="Cambria"/>
        <family val="0"/>
        <charset val="1"/>
      </rPr>
      <t xml:space="preserve">(0</t>
    </r>
    <r>
      <rPr>
        <b val="true"/>
        <sz val="11"/>
        <rFont val="WenQuanYi Zen Hei"/>
        <family val="2"/>
      </rPr>
      <t xml:space="preserve">개</t>
    </r>
    <r>
      <rPr>
        <b val="true"/>
        <sz val="11"/>
        <rFont val="Cambria"/>
        <family val="0"/>
        <charset val="1"/>
      </rPr>
      <t xml:space="preserve">)</t>
    </r>
  </si>
  <si>
    <t xml:space="preserve">오류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</si>
  <si>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</si>
  <si>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데이터 누락 티커 </t>
    </r>
    <r>
      <rPr>
        <b val="true"/>
        <sz val="11"/>
        <rFont val="Cambria"/>
        <family val="0"/>
        <charset val="1"/>
      </rPr>
      <t xml:space="preserve">(74</t>
    </r>
    <r>
      <rPr>
        <b val="true"/>
        <sz val="11"/>
        <rFont val="WenQuanYi Zen Hei"/>
        <family val="2"/>
      </rPr>
      <t xml:space="preserve">개</t>
    </r>
    <r>
      <rPr>
        <b val="true"/>
        <sz val="11"/>
        <rFont val="Cambria"/>
        <family val="0"/>
        <charset val="1"/>
      </rPr>
      <t xml:space="preserve">)</t>
    </r>
  </si>
  <si>
    <t xml:space="preserve">누락 내용</t>
  </si>
  <si>
    <r>
      <rPr>
        <sz val="11"/>
        <color theme="1"/>
        <rFont val="WenQuanYi Zen Hei"/>
        <family val="2"/>
      </rPr>
      <t xml:space="preserve">영업이익 없음</t>
    </r>
    <r>
      <rPr>
        <sz val="11"/>
        <color theme="1"/>
        <rFont val="Calibri"/>
        <family val="2"/>
        <charset val="1"/>
      </rPr>
      <t xml:space="preserve">: Q0,Q-1,Q-2,Q-3,Q-4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</si>
  <si>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에 값 없는 최신 분기 열 제외</t>
    </r>
    <r>
      <rPr>
        <sz val="11"/>
        <color theme="1"/>
        <rFont val="Calibri"/>
        <family val="2"/>
        <charset val="1"/>
      </rPr>
      <t xml:space="preserve">: 2026-06-30</t>
    </r>
  </si>
  <si>
    <r>
      <rPr>
        <sz val="11"/>
        <color theme="1"/>
        <rFont val="WenQuanYi Zen Hei"/>
        <family val="2"/>
      </rPr>
      <t xml:space="preserve">영업이익 없음</t>
    </r>
    <r>
      <rPr>
        <sz val="11"/>
        <color theme="1"/>
        <rFont val="Calibri"/>
        <family val="2"/>
        <charset val="1"/>
      </rPr>
      <t xml:space="preserve">: Q0,Q-1,Q-2,Q-3,Q-4; Q0~Q-4 </t>
    </r>
    <r>
      <rPr>
        <sz val="11"/>
        <color theme="1"/>
        <rFont val="WenQuanYi Zen Hei"/>
        <family val="2"/>
      </rPr>
      <t xml:space="preserve">간격 </t>
    </r>
    <r>
      <rPr>
        <sz val="11"/>
        <color theme="1"/>
        <rFont val="Calibri"/>
        <family val="2"/>
        <charset val="1"/>
      </rPr>
      <t xml:space="preserve">456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년 아님</t>
    </r>
    <r>
      <rPr>
        <sz val="11"/>
        <color theme="1"/>
        <rFont val="Calibri"/>
        <family val="2"/>
        <charset val="1"/>
      </rPr>
      <t xml:space="preserve">, YoY </t>
    </r>
    <r>
      <rPr>
        <sz val="11"/>
        <color theme="1"/>
        <rFont val="WenQuanYi Zen Hei"/>
        <family val="2"/>
      </rPr>
      <t xml:space="preserve">해석 주의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</si>
  <si>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에 값 없는 최신 분기 열 제외</t>
    </r>
    <r>
      <rPr>
        <sz val="11"/>
        <color theme="1"/>
        <rFont val="Calibri"/>
        <family val="2"/>
        <charset val="1"/>
      </rPr>
      <t xml:space="preserve">: 2026-08-31</t>
    </r>
  </si>
  <si>
    <r>
      <rPr>
        <sz val="11"/>
        <color theme="1"/>
        <rFont val="Calibri"/>
        <family val="2"/>
        <charset val="1"/>
      </rPr>
      <t xml:space="preserve">Q0~Q-4 </t>
    </r>
    <r>
      <rPr>
        <sz val="11"/>
        <color theme="1"/>
        <rFont val="WenQuanYi Zen Hei"/>
        <family val="2"/>
      </rPr>
      <t xml:space="preserve">간격 </t>
    </r>
    <r>
      <rPr>
        <sz val="11"/>
        <color theme="1"/>
        <rFont val="Calibri"/>
        <family val="2"/>
        <charset val="1"/>
      </rPr>
      <t xml:space="preserve">426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년 아님</t>
    </r>
    <r>
      <rPr>
        <sz val="11"/>
        <color theme="1"/>
        <rFont val="Calibri"/>
        <family val="2"/>
        <charset val="1"/>
      </rPr>
      <t xml:space="preserve">, YoY </t>
    </r>
    <r>
      <rPr>
        <sz val="11"/>
        <color theme="1"/>
        <rFont val="WenQuanYi Zen Hei"/>
        <family val="2"/>
      </rPr>
      <t xml:space="preserve">해석 주의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</si>
  <si>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에 값 없는 최신 분기 열 제외</t>
    </r>
    <r>
      <rPr>
        <sz val="11"/>
        <color theme="1"/>
        <rFont val="Calibri"/>
        <family val="2"/>
        <charset val="1"/>
      </rPr>
      <t xml:space="preserve">: 2026-07-31</t>
    </r>
  </si>
  <si>
    <r>
      <rPr>
        <sz val="11"/>
        <color theme="1"/>
        <rFont val="WenQuanYi Zen Hei"/>
        <family val="2"/>
      </rPr>
      <t xml:space="preserve">영업이익 없음</t>
    </r>
    <r>
      <rPr>
        <sz val="11"/>
        <color theme="1"/>
        <rFont val="Calibri"/>
        <family val="2"/>
        <charset val="1"/>
      </rPr>
      <t xml:space="preserve">: Q0,Q-1,Q-2,Q-3,Q-4; Yahoo</t>
    </r>
    <r>
      <rPr>
        <sz val="11"/>
        <color theme="1"/>
        <rFont val="WenQuanYi Zen Hei"/>
        <family val="2"/>
      </rPr>
      <t xml:space="preserve">에 값 없는 최신 분기 열 제외</t>
    </r>
    <r>
      <rPr>
        <sz val="11"/>
        <color theme="1"/>
        <rFont val="Calibri"/>
        <family val="2"/>
        <charset val="1"/>
      </rPr>
      <t xml:space="preserve">: 2026-06-30</t>
    </r>
  </si>
  <si>
    <r>
      <rPr>
        <sz val="11"/>
        <color theme="1"/>
        <rFont val="WenQuanYi Zen Hei"/>
        <family val="2"/>
      </rPr>
      <t xml:space="preserve">영업이익 없음</t>
    </r>
    <r>
      <rPr>
        <sz val="11"/>
        <color theme="1"/>
        <rFont val="Calibri"/>
        <family val="2"/>
        <charset val="1"/>
      </rPr>
      <t xml:space="preserve">: Q-1,Q-2,Q-3,Q-4</t>
    </r>
  </si>
  <si>
    <r>
      <rPr>
        <sz val="11"/>
        <color theme="1"/>
        <rFont val="Calibri"/>
        <family val="2"/>
        <charset val="1"/>
      </rPr>
      <t xml:space="preserve">Q0~Q-4 </t>
    </r>
    <r>
      <rPr>
        <sz val="11"/>
        <color theme="1"/>
        <rFont val="WenQuanYi Zen Hei"/>
        <family val="2"/>
      </rPr>
      <t xml:space="preserve">간격 </t>
    </r>
    <r>
      <rPr>
        <sz val="11"/>
        <color theme="1"/>
        <rFont val="Calibri"/>
        <family val="2"/>
        <charset val="1"/>
      </rPr>
      <t xml:space="preserve">546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년 아님</t>
    </r>
    <r>
      <rPr>
        <sz val="11"/>
        <color theme="1"/>
        <rFont val="Calibri"/>
        <family val="2"/>
        <charset val="1"/>
      </rPr>
      <t xml:space="preserve">, YoY </t>
    </r>
    <r>
      <rPr>
        <sz val="11"/>
        <color theme="1"/>
        <rFont val="WenQuanYi Zen Hei"/>
        <family val="2"/>
      </rPr>
      <t xml:space="preserve">해석 주의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</si>
  <si>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분기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개만 제공</t>
    </r>
  </si>
  <si>
    <r>
      <rPr>
        <sz val="11"/>
        <color theme="1"/>
        <rFont val="WenQuanYi Zen Hei"/>
        <family val="2"/>
      </rPr>
      <t xml:space="preserve">분기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개만 제공</t>
    </r>
  </si>
  <si>
    <r>
      <rPr>
        <sz val="11"/>
        <color theme="1"/>
        <rFont val="WenQuanYi Zen Hei"/>
        <family val="2"/>
      </rPr>
      <t xml:space="preserve">매출 없음</t>
    </r>
    <r>
      <rPr>
        <sz val="11"/>
        <color theme="1"/>
        <rFont val="Calibri"/>
        <family val="2"/>
        <charset val="1"/>
      </rPr>
      <t xml:space="preserve">: Q-1,Q-2,Q-3,Q-4</t>
    </r>
  </si>
  <si>
    <t xml:space="preserve">기업별 실제 분기 종료일</t>
  </si>
  <si>
    <r>
      <rPr>
        <b val="true"/>
        <sz val="11"/>
        <rFont val="Cambria"/>
        <family val="0"/>
        <charset val="1"/>
      </rPr>
      <t xml:space="preserve">Q0 </t>
    </r>
    <r>
      <rPr>
        <b val="true"/>
        <sz val="11"/>
        <rFont val="WenQuanYi Zen Hei"/>
        <family val="2"/>
      </rPr>
      <t xml:space="preserve">종료일</t>
    </r>
  </si>
  <si>
    <r>
      <rPr>
        <b val="true"/>
        <sz val="11"/>
        <rFont val="Cambria"/>
        <family val="0"/>
        <charset val="1"/>
      </rPr>
      <t xml:space="preserve">Q-1 </t>
    </r>
    <r>
      <rPr>
        <b val="true"/>
        <sz val="11"/>
        <rFont val="WenQuanYi Zen Hei"/>
        <family val="2"/>
      </rPr>
      <t xml:space="preserve">종료일</t>
    </r>
  </si>
  <si>
    <r>
      <rPr>
        <b val="true"/>
        <sz val="11"/>
        <rFont val="Cambria"/>
        <family val="0"/>
        <charset val="1"/>
      </rPr>
      <t xml:space="preserve">Q-2 </t>
    </r>
    <r>
      <rPr>
        <b val="true"/>
        <sz val="11"/>
        <rFont val="WenQuanYi Zen Hei"/>
        <family val="2"/>
      </rPr>
      <t xml:space="preserve">종료일</t>
    </r>
  </si>
  <si>
    <r>
      <rPr>
        <b val="true"/>
        <sz val="11"/>
        <rFont val="Cambria"/>
        <family val="0"/>
        <charset val="1"/>
      </rPr>
      <t xml:space="preserve">Q-3 </t>
    </r>
    <r>
      <rPr>
        <b val="true"/>
        <sz val="11"/>
        <rFont val="WenQuanYi Zen Hei"/>
        <family val="2"/>
      </rPr>
      <t xml:space="preserve">종료일</t>
    </r>
  </si>
  <si>
    <r>
      <rPr>
        <b val="true"/>
        <sz val="11"/>
        <rFont val="Cambria"/>
        <family val="0"/>
        <charset val="1"/>
      </rPr>
      <t xml:space="preserve">Q-4 </t>
    </r>
    <r>
      <rPr>
        <b val="true"/>
        <sz val="11"/>
        <rFont val="WenQuanYi Zen Hei"/>
        <family val="2"/>
      </rPr>
      <t xml:space="preserve">종료일</t>
    </r>
  </si>
  <si>
    <t xml:space="preserve">비고</t>
  </si>
  <si>
    <t xml:space="preserve">2026-01-31</t>
  </si>
  <si>
    <t xml:space="preserve">2025-10-31</t>
  </si>
  <si>
    <t xml:space="preserve">2025-07-31</t>
  </si>
  <si>
    <t xml:space="preserve">2025-12-31</t>
  </si>
  <si>
    <t xml:space="preserve">2025-09-30</t>
  </si>
  <si>
    <t xml:space="preserve">2025-06-30</t>
  </si>
  <si>
    <t xml:space="preserve">2025-03-31</t>
  </si>
  <si>
    <t xml:space="preserve">2026-02-28</t>
  </si>
  <si>
    <t xml:space="preserve">2025-08-31</t>
  </si>
  <si>
    <t xml:space="preserve">2025-05-31</t>
  </si>
  <si>
    <t xml:space="preserve">2025-04-30</t>
  </si>
  <si>
    <t xml:space="preserve">2024-12-31</t>
  </si>
  <si>
    <r>
      <rPr>
        <b val="true"/>
        <sz val="11"/>
        <rFont val="WenQuanYi Zen Hei"/>
        <family val="2"/>
      </rPr>
      <t xml:space="preserve">주가수익률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추가</t>
    </r>
    <r>
      <rPr>
        <b val="true"/>
        <sz val="11"/>
        <rFont val="Cambria"/>
        <family val="0"/>
        <charset val="1"/>
      </rPr>
      <t xml:space="preserve">)</t>
    </r>
  </si>
  <si>
    <t xml:space="preserve">가격 출처</t>
  </si>
  <si>
    <r>
      <rPr>
        <sz val="11"/>
        <color theme="1"/>
        <rFont val="Calibri"/>
        <family val="2"/>
        <charset val="1"/>
      </rPr>
      <t xml:space="preserve">Yahoo Finance via yfinance </t>
    </r>
    <r>
      <rPr>
        <sz val="11"/>
        <color theme="1"/>
        <rFont val="WenQuanYi Zen Hei"/>
        <family val="2"/>
      </rPr>
      <t xml:space="preserve">일별 종가</t>
    </r>
  </si>
  <si>
    <t xml:space="preserve">기간</t>
  </si>
  <si>
    <r>
      <rPr>
        <sz val="11"/>
        <color theme="1"/>
        <rFont val="Calibri"/>
        <family val="2"/>
        <charset val="1"/>
      </rPr>
      <t xml:space="preserve">2025-09-24 </t>
    </r>
    <r>
      <rPr>
        <sz val="11"/>
        <color theme="1"/>
        <rFont val="WenQuanYi Zen Hei"/>
        <family val="2"/>
      </rPr>
      <t xml:space="preserve">종가 → 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WenQuanYi Zen Hei"/>
        <family val="2"/>
      </rPr>
      <t xml:space="preserve">종가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미국 장 마감 전이면 전 거래일 종가 사용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</si>
  <si>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년 주가수익률</t>
    </r>
  </si>
  <si>
    <r>
      <rPr>
        <sz val="11"/>
        <color theme="1"/>
        <rFont val="WenQuanYi Zen Hei"/>
        <family val="2"/>
      </rPr>
      <t xml:space="preserve">분할 조정 종가</t>
    </r>
    <r>
      <rPr>
        <sz val="11"/>
        <color theme="1"/>
        <rFont val="Calibri"/>
        <family val="2"/>
        <charset val="1"/>
      </rPr>
      <t xml:space="preserve">(Close) </t>
    </r>
    <r>
      <rPr>
        <sz val="11"/>
        <color theme="1"/>
        <rFont val="WenQuanYi Zen Hei"/>
        <family val="2"/>
      </rPr>
      <t xml:space="preserve">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배당 제외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종료 종가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시작 종가 </t>
    </r>
    <r>
      <rPr>
        <sz val="11"/>
        <color theme="1"/>
        <rFont val="Calibri"/>
        <family val="2"/>
        <charset val="1"/>
      </rPr>
      <t xml:space="preserve">- 1 (</t>
    </r>
    <r>
      <rPr>
        <sz val="11"/>
        <color theme="1"/>
        <rFont val="WenQuanYi Zen Hei"/>
        <family val="2"/>
      </rPr>
      <t xml:space="preserve">실적 시트 수식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</si>
  <si>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년 총수익률</t>
    </r>
  </si>
  <si>
    <r>
      <rPr>
        <sz val="11"/>
        <color theme="1"/>
        <rFont val="WenQuanYi Zen Hei"/>
        <family val="2"/>
      </rPr>
      <t xml:space="preserve">배당 재투자 조정 종가</t>
    </r>
    <r>
      <rPr>
        <sz val="11"/>
        <color theme="1"/>
        <rFont val="Calibri"/>
        <family val="2"/>
        <charset val="1"/>
      </rPr>
      <t xml:space="preserve">(Adj Close) </t>
    </r>
    <r>
      <rPr>
        <sz val="11"/>
        <color theme="1"/>
        <rFont val="WenQuanYi Zen Hei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종료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시작 </t>
    </r>
    <r>
      <rPr>
        <sz val="11"/>
        <color theme="1"/>
        <rFont val="Calibri"/>
        <family val="2"/>
        <charset val="1"/>
      </rPr>
      <t xml:space="preserve">- 1 (</t>
    </r>
    <r>
      <rPr>
        <sz val="11"/>
        <color theme="1"/>
        <rFont val="WenQuanYi Zen Hei"/>
        <family val="2"/>
      </rPr>
      <t xml:space="preserve">계산값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</si>
  <si>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GICS </t>
    </r>
    <r>
      <rPr>
        <sz val="11"/>
        <color theme="1"/>
        <rFont val="WenQuanYi Zen Hei"/>
        <family val="2"/>
      </rPr>
      <t xml:space="preserve">섹터</t>
    </r>
  </si>
  <si>
    <t xml:space="preserve">Wikipedia List of S&amp;P 500 companies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</si>
  <si>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년 전 성장률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선정 기준</t>
    </r>
  </si>
  <si>
    <r>
      <rPr>
        <sz val="11"/>
        <color theme="1"/>
        <rFont val="Calibri"/>
        <family val="2"/>
        <charset val="1"/>
      </rPr>
      <t xml:space="preserve">sp500_asof20250924_last5q_20260924.xlsx (2025-09-24 </t>
    </r>
    <r>
      <rPr>
        <sz val="11"/>
        <color theme="1"/>
        <rFont val="WenQuanYi Zen Hei"/>
        <family val="2"/>
      </rPr>
      <t xml:space="preserve">시점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WenQuanYi Zen Hei"/>
        <family val="2"/>
      </rPr>
      <t xml:space="preserve">제출 자료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</si>
  <si>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수익률 미산출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시작일 이후 상장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분사</t>
    </r>
    <r>
      <rPr>
        <sz val="11"/>
        <color theme="1"/>
        <rFont val="Calibri"/>
        <family val="2"/>
        <charset val="1"/>
      </rPr>
      <t xml:space="preserve">)</t>
    </r>
  </si>
  <si>
    <t xml:space="preserve">Q, FDXF, HONA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</si>
</sst>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  <font>
      <b val="true"/>
      <sz val="12"/>
      <name val="Cambria"/>
      <family val="0"/>
      <charset val="1"/>
    </font>
    <font>
      <b val="true"/>
      <sz val="12"/>
      <name val="WenQuanYi Zen Hei"/>
      <family val="2"/>
    </font>
    <font>
      <i val="true"/>
      <sz val="11"/>
      <name val="WenQuanYi Zen Hei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8" min="5" style="0" width="18"/>
    <col collapsed="false" customWidth="true" hidden="false" outlineLevel="0" max="9" min="9" style="0" width="21"/>
    <col collapsed="false" customWidth="true" hidden="false" outlineLevel="0" max="13" min="10" style="0" width="22"/>
    <col collapsed="false" customWidth="true" hidden="false" outlineLevel="0" max="14" min="14" style="0" width="17"/>
    <col collapsed="false" customWidth="true" hidden="false" outlineLevel="0" max="15" min="15" style="0" width="21"/>
    <col collapsed="false" customWidth="true" hidden="false" outlineLevel="0" max="16" min="16" style="0" width="14"/>
    <col collapsed="false" customWidth="true" hidden="false" outlineLevel="0" max="19" min="17" style="0" width="15"/>
    <col collapsed="false" customWidth="true" hidden="false" outlineLevel="0" max="20" min="20" style="0" width="25"/>
    <col collapsed="false" customWidth="true" hidden="false" outlineLevel="0" max="21" min="21" style="0" width="66"/>
    <col collapsed="false" customWidth="true" hidden="false" outlineLevel="0" max="22" min="22" style="0" width="12"/>
    <col collapsed="false" customWidth="true" hidden="false" outlineLevel="0" max="24" min="23" style="0" width="27.2"/>
    <col collapsed="false" customWidth="true" hidden="false" outlineLevel="0" max="25" min="25" style="0" width="12.8"/>
    <col collapsed="false" customWidth="true" hidden="false" outlineLevel="0" max="26" min="26" style="0" width="22.4"/>
    <col collapsed="false" customWidth="true" hidden="false" outlineLevel="0" max="28" min="27" style="0" width="40"/>
    <col collapsed="false" customWidth="true" hidden="false" outlineLevel="0" max="29" min="29" style="0" width="3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customFormat="false" ht="15" hidden="false" customHeight="false" outlineLevel="0" collapsed="false">
      <c r="A2" s="3" t="s">
        <v>29</v>
      </c>
      <c r="B2" s="3" t="s">
        <v>30</v>
      </c>
      <c r="C2" s="3" t="s">
        <v>31</v>
      </c>
      <c r="D2" s="4" t="n">
        <v>6572.2</v>
      </c>
      <c r="E2" s="4" t="n">
        <v>5679.8</v>
      </c>
      <c r="F2" s="4" t="n">
        <v>5511</v>
      </c>
      <c r="G2" s="4" t="n">
        <v>5737.4</v>
      </c>
      <c r="H2" s="4" t="n">
        <v>5976.6</v>
      </c>
      <c r="I2" s="4" t="n">
        <v>428.6</v>
      </c>
      <c r="J2" s="4" t="n">
        <v>376</v>
      </c>
      <c r="K2" s="4" t="n">
        <v>430.7</v>
      </c>
      <c r="L2" s="4" t="n">
        <v>443.3</v>
      </c>
      <c r="M2" s="4" t="n">
        <v>420.2</v>
      </c>
      <c r="N2" s="5" t="n">
        <v>0.0996553224241208</v>
      </c>
      <c r="O2" s="5" t="n">
        <v>0.019990480723465</v>
      </c>
      <c r="P2" s="5" t="n">
        <v>0.157118208387619</v>
      </c>
      <c r="Q2" s="5" t="n">
        <v>0.0306296497913265</v>
      </c>
      <c r="R2" s="5" t="n">
        <v>-0.0394603827517691</v>
      </c>
      <c r="S2" s="5" t="n">
        <v>-0.0400227554127765</v>
      </c>
      <c r="T2" s="3" t="s">
        <v>32</v>
      </c>
      <c r="U2" s="6" t="s">
        <v>33</v>
      </c>
      <c r="V2" s="3" t="s">
        <v>34</v>
      </c>
      <c r="W2" s="7" t="n">
        <v>160.47</v>
      </c>
      <c r="X2" s="7" t="n">
        <v>146.16</v>
      </c>
      <c r="Y2" s="5" t="n">
        <f aca="false">IF(AND(ISNUMBER(W2),ISNUMBER(X2)),X2/W2-1,"")</f>
        <v>-0.0891755468311835</v>
      </c>
      <c r="Z2" s="5" t="n">
        <v>-0.0706288690881614</v>
      </c>
      <c r="AA2" s="5" t="n">
        <v>0.102002433897555</v>
      </c>
      <c r="AB2" s="6" t="s">
        <v>35</v>
      </c>
      <c r="AC2" s="5" t="n">
        <f aca="false">IF(AND(ISNUMBER(N2),ISNUMBER(AA2)),N2-AA2,"")</f>
        <v>-0.00234711147343432</v>
      </c>
    </row>
    <row r="3" customFormat="false" ht="15" hidden="false" customHeight="false" outlineLevel="0" collapsed="false">
      <c r="A3" s="3" t="s">
        <v>36</v>
      </c>
      <c r="B3" s="3" t="s">
        <v>37</v>
      </c>
      <c r="C3" s="3" t="s">
        <v>38</v>
      </c>
      <c r="D3" s="4" t="n">
        <v>9115</v>
      </c>
      <c r="E3" s="4" t="n">
        <v>7910</v>
      </c>
      <c r="F3" s="4" t="n">
        <v>7012</v>
      </c>
      <c r="G3" s="4" t="n">
        <v>6800</v>
      </c>
      <c r="H3" s="4" t="n">
        <v>7302</v>
      </c>
      <c r="I3" s="4" t="n">
        <v>3075</v>
      </c>
      <c r="J3" s="4" t="n">
        <v>2523</v>
      </c>
      <c r="K3" s="4" t="n">
        <v>2096</v>
      </c>
      <c r="L3" s="4" t="n">
        <v>1893</v>
      </c>
      <c r="M3" s="4" t="n">
        <v>2233</v>
      </c>
      <c r="N3" s="5" t="n">
        <v>0.248288140235552</v>
      </c>
      <c r="O3" s="5" t="n">
        <v>0.377071204657412</v>
      </c>
      <c r="P3" s="5" t="n">
        <v>0.152338811630847</v>
      </c>
      <c r="Q3" s="5" t="n">
        <v>0.128066172276098</v>
      </c>
      <c r="R3" s="5" t="n">
        <v>0.0311764705882354</v>
      </c>
      <c r="S3" s="5" t="n">
        <v>-0.0687482881402356</v>
      </c>
      <c r="T3" s="3" t="s">
        <v>32</v>
      </c>
      <c r="U3" s="6" t="s">
        <v>39</v>
      </c>
      <c r="V3" s="3" t="s">
        <v>34</v>
      </c>
      <c r="W3" s="7" t="n">
        <v>201.44</v>
      </c>
      <c r="X3" s="7" t="n">
        <v>474.38</v>
      </c>
      <c r="Y3" s="5" t="n">
        <f aca="false">IF(AND(ISNUMBER(W3),ISNUMBER(X3)),X3/W3-1,"")</f>
        <v>1.35494440031771</v>
      </c>
      <c r="Z3" s="5" t="n">
        <v>1.36796972797911</v>
      </c>
      <c r="AA3" s="5" t="n">
        <v>0.0773089406904692</v>
      </c>
      <c r="AB3" s="3"/>
      <c r="AC3" s="5" t="n">
        <f aca="false">IF(AND(ISNUMBER(N3),ISNUMBER(AA3)),N3-AA3,"")</f>
        <v>0.170979199545083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 t="s">
        <v>38</v>
      </c>
      <c r="D4" s="4" t="n">
        <v>47861</v>
      </c>
      <c r="E4" s="4" t="n">
        <v>41765</v>
      </c>
      <c r="F4" s="4" t="n">
        <v>38198</v>
      </c>
      <c r="G4" s="4" t="n">
        <v>41352</v>
      </c>
      <c r="H4" s="4" t="n">
        <v>45277</v>
      </c>
      <c r="I4" s="4" t="n">
        <v>6839</v>
      </c>
      <c r="J4" s="4" t="n">
        <v>4981</v>
      </c>
      <c r="K4" s="4" t="n">
        <v>3849</v>
      </c>
      <c r="L4" s="4" t="n">
        <v>5353</v>
      </c>
      <c r="M4" s="4" t="n">
        <v>6555</v>
      </c>
      <c r="N4" s="5" t="n">
        <v>0.0570709190096517</v>
      </c>
      <c r="O4" s="5" t="n">
        <v>0.0433257055682685</v>
      </c>
      <c r="P4" s="5" t="n">
        <v>0.145959535496229</v>
      </c>
      <c r="Q4" s="5" t="n">
        <v>0.0933818524530081</v>
      </c>
      <c r="R4" s="5" t="n">
        <v>-0.0762720061907526</v>
      </c>
      <c r="S4" s="5" t="n">
        <v>-0.0866886056938402</v>
      </c>
      <c r="T4" s="3" t="s">
        <v>32</v>
      </c>
      <c r="U4" s="6" t="s">
        <v>42</v>
      </c>
      <c r="V4" s="3" t="s">
        <v>43</v>
      </c>
      <c r="W4" s="7" t="n">
        <v>409.77</v>
      </c>
      <c r="X4" s="7" t="n">
        <v>296.72</v>
      </c>
      <c r="Y4" s="5" t="n">
        <f aca="false">IF(AND(ISNUMBER(W4),ISNUMBER(X4)),X4/W4-1,"")</f>
        <v>-0.275886472899431</v>
      </c>
      <c r="Z4" s="5" t="n">
        <v>-0.255380461707689</v>
      </c>
      <c r="AA4" s="5" t="n">
        <v>0.0486855819339895</v>
      </c>
      <c r="AB4" s="3" t="s">
        <v>32</v>
      </c>
      <c r="AC4" s="5" t="n">
        <f aca="false">IF(AND(ISNUMBER(N4),ISNUMBER(AA4)),N4-AA4,"")</f>
        <v>0.00838533707566214</v>
      </c>
    </row>
    <row r="5" customFormat="false" ht="15" hidden="false" customHeight="false" outlineLevel="0" collapsed="false">
      <c r="A5" s="3" t="s">
        <v>44</v>
      </c>
      <c r="B5" s="3" t="s">
        <v>45</v>
      </c>
      <c r="C5" s="3" t="s">
        <v>31</v>
      </c>
      <c r="D5" s="4" t="n">
        <v>8531</v>
      </c>
      <c r="E5" s="4" t="n">
        <v>7451</v>
      </c>
      <c r="F5" s="4" t="n">
        <v>7055</v>
      </c>
      <c r="G5" s="4" t="n">
        <v>6988</v>
      </c>
      <c r="H5" s="4" t="n">
        <v>7028</v>
      </c>
      <c r="I5" s="4" t="n">
        <v>1392</v>
      </c>
      <c r="J5" s="4" t="n">
        <v>1172</v>
      </c>
      <c r="K5" s="4" t="n">
        <v>1386</v>
      </c>
      <c r="L5" s="4" t="n">
        <v>1367</v>
      </c>
      <c r="M5" s="4" t="n">
        <v>1256</v>
      </c>
      <c r="N5" s="5" t="n">
        <v>0.213858850313034</v>
      </c>
      <c r="O5" s="5" t="n">
        <v>0.10828025477707</v>
      </c>
      <c r="P5" s="5" t="n">
        <v>0.144946986981613</v>
      </c>
      <c r="Q5" s="5" t="n">
        <v>0.0561304039688164</v>
      </c>
      <c r="R5" s="5" t="n">
        <v>0.00958786491127639</v>
      </c>
      <c r="S5" s="5" t="n">
        <v>-0.00569151963574277</v>
      </c>
      <c r="T5" s="3" t="s">
        <v>32</v>
      </c>
      <c r="U5" s="6" t="s">
        <v>46</v>
      </c>
      <c r="V5" s="3" t="s">
        <v>47</v>
      </c>
      <c r="W5" s="7" t="n">
        <v>372.21</v>
      </c>
      <c r="X5" s="7" t="n">
        <v>438.76</v>
      </c>
      <c r="Y5" s="5" t="n">
        <f aca="false">IF(AND(ISNUMBER(W5),ISNUMBER(X5)),X5/W5-1,"")</f>
        <v>0.178796915719621</v>
      </c>
      <c r="Z5" s="5" t="n">
        <v>0.191939641657576</v>
      </c>
      <c r="AA5" s="5" t="n">
        <v>0.106771653543307</v>
      </c>
      <c r="AB5" s="6" t="s">
        <v>35</v>
      </c>
      <c r="AC5" s="5" t="n">
        <f aca="false">IF(AND(ISNUMBER(N5),ISNUMBER(AA5)),N5-AA5,"")</f>
        <v>0.107087196769727</v>
      </c>
    </row>
    <row r="6" customFormat="false" ht="15" hidden="false" customHeight="false" outlineLevel="0" collapsed="false">
      <c r="A6" s="3" t="s">
        <v>48</v>
      </c>
      <c r="B6" s="3" t="s">
        <v>49</v>
      </c>
      <c r="C6" s="3" t="s">
        <v>31</v>
      </c>
      <c r="D6" s="4" t="n">
        <v>1442.8</v>
      </c>
      <c r="E6" s="4" t="n">
        <v>1272.8</v>
      </c>
      <c r="F6" s="4" t="n">
        <v>1204</v>
      </c>
      <c r="G6" s="4" t="n">
        <v>1141.7</v>
      </c>
      <c r="H6" s="4" t="n">
        <v>1173.5</v>
      </c>
      <c r="I6" s="4" t="n">
        <v>476</v>
      </c>
      <c r="J6" s="4" t="n">
        <v>505.6</v>
      </c>
      <c r="K6" s="4" t="n">
        <v>428.8</v>
      </c>
      <c r="L6" s="4" t="n">
        <v>375</v>
      </c>
      <c r="M6" s="4" t="n">
        <v>356.2</v>
      </c>
      <c r="N6" s="5" t="n">
        <v>0.229484448231785</v>
      </c>
      <c r="O6" s="5" t="n">
        <v>0.336327905670971</v>
      </c>
      <c r="P6" s="5" t="n">
        <v>0.133563796354494</v>
      </c>
      <c r="Q6" s="5" t="n">
        <v>0.0571428571428572</v>
      </c>
      <c r="R6" s="5" t="n">
        <v>0.0545677498467199</v>
      </c>
      <c r="S6" s="5" t="n">
        <v>-0.0270984235193864</v>
      </c>
      <c r="T6" s="3" t="s">
        <v>32</v>
      </c>
      <c r="U6" s="6" t="s">
        <v>50</v>
      </c>
      <c r="V6" s="3" t="s">
        <v>51</v>
      </c>
      <c r="W6" s="7" t="n">
        <v>243.19</v>
      </c>
      <c r="X6" s="7" t="n">
        <v>268.87</v>
      </c>
      <c r="Y6" s="5" t="n">
        <f aca="false">IF(AND(ISNUMBER(W6),ISNUMBER(X6)),X6/W6-1,"")</f>
        <v>0.105596447222337</v>
      </c>
      <c r="Z6" s="5" t="n">
        <v>0.113734771341233</v>
      </c>
      <c r="AA6" s="5" t="n">
        <v>0.20482546201232</v>
      </c>
      <c r="AB6" s="3"/>
      <c r="AC6" s="5" t="n">
        <f aca="false">IF(AND(ISNUMBER(N6),ISNUMBER(AA6)),N6-AA6,"")</f>
        <v>0.0246589862194649</v>
      </c>
    </row>
    <row r="7" customFormat="false" ht="15" hidden="false" customHeight="false" outlineLevel="0" collapsed="false">
      <c r="A7" s="3" t="s">
        <v>52</v>
      </c>
      <c r="B7" s="3" t="s">
        <v>53</v>
      </c>
      <c r="C7" s="3" t="s">
        <v>38</v>
      </c>
      <c r="D7" s="4" t="n">
        <v>2739.3</v>
      </c>
      <c r="E7" s="4" t="n">
        <v>2417.8</v>
      </c>
      <c r="F7" s="4" t="n">
        <v>2218.7</v>
      </c>
      <c r="G7" s="4" t="n">
        <v>2074.5</v>
      </c>
      <c r="H7" s="4" t="n">
        <v>2006.1</v>
      </c>
      <c r="I7" s="4" t="n">
        <v>456.9</v>
      </c>
      <c r="J7" s="4" t="n">
        <v>350.1</v>
      </c>
      <c r="K7" s="4" t="n">
        <v>413.9</v>
      </c>
      <c r="L7" s="4" t="n">
        <v>367.4</v>
      </c>
      <c r="M7" s="4" t="n">
        <v>298.8</v>
      </c>
      <c r="N7" s="5" t="n">
        <v>0.365485269926724</v>
      </c>
      <c r="O7" s="5" t="n">
        <v>0.529116465863454</v>
      </c>
      <c r="P7" s="5" t="n">
        <v>0.132972123417983</v>
      </c>
      <c r="Q7" s="5" t="n">
        <v>0.0897372335151214</v>
      </c>
      <c r="R7" s="5" t="n">
        <v>0.0695107254760183</v>
      </c>
      <c r="S7" s="5" t="n">
        <v>0.0340960071781067</v>
      </c>
      <c r="T7" s="3" t="s">
        <v>32</v>
      </c>
      <c r="U7" s="6" t="s">
        <v>54</v>
      </c>
      <c r="V7" s="3" t="s">
        <v>34</v>
      </c>
      <c r="W7" s="7" t="n">
        <v>80.09</v>
      </c>
      <c r="X7" s="7" t="n">
        <v>260.9</v>
      </c>
      <c r="Y7" s="5" t="n">
        <f aca="false">IF(AND(ISNUMBER(W7),ISNUMBER(X7)),X7/W7-1,"")</f>
        <v>2.25758521663129</v>
      </c>
      <c r="Z7" s="5" t="n">
        <v>2.26452573201678</v>
      </c>
      <c r="AA7" s="5" t="n">
        <v>0.576007541833608</v>
      </c>
      <c r="AB7" s="3"/>
      <c r="AC7" s="5" t="n">
        <f aca="false">IF(AND(ISNUMBER(N7),ISNUMBER(AA7)),N7-AA7,"")</f>
        <v>-0.210522271906885</v>
      </c>
    </row>
    <row r="8" customFormat="false" ht="15" hidden="false" customHeight="false" outlineLevel="0" collapsed="false">
      <c r="A8" s="3" t="s">
        <v>55</v>
      </c>
      <c r="B8" s="3" t="s">
        <v>56</v>
      </c>
      <c r="C8" s="3" t="s">
        <v>31</v>
      </c>
      <c r="D8" s="4" t="n">
        <v>2045.533</v>
      </c>
      <c r="E8" s="4" t="n">
        <v>1805.641</v>
      </c>
      <c r="F8" s="4" t="n">
        <v>1685.629</v>
      </c>
      <c r="G8" s="4" t="n">
        <v>1581.378</v>
      </c>
      <c r="H8" s="4" t="n">
        <v>1529.436</v>
      </c>
      <c r="I8" s="4" t="n">
        <v>304.338</v>
      </c>
      <c r="J8" s="4" t="n">
        <v>226.321</v>
      </c>
      <c r="K8" s="4" t="n">
        <v>198.624</v>
      </c>
      <c r="L8" s="4" t="n">
        <v>172.239</v>
      </c>
      <c r="M8" s="4" t="n">
        <v>144.978</v>
      </c>
      <c r="N8" s="5" t="n">
        <v>0.337442691292738</v>
      </c>
      <c r="O8" s="5" t="n">
        <v>1.09920125812192</v>
      </c>
      <c r="P8" s="5" t="n">
        <v>0.132856974337645</v>
      </c>
      <c r="Q8" s="5" t="n">
        <v>0.071197161415709</v>
      </c>
      <c r="R8" s="5" t="n">
        <v>0.0659241496972893</v>
      </c>
      <c r="S8" s="5" t="n">
        <v>0.0339615387633088</v>
      </c>
      <c r="T8" s="3" t="s">
        <v>32</v>
      </c>
      <c r="U8" s="6" t="s">
        <v>57</v>
      </c>
      <c r="V8" s="3" t="s">
        <v>34</v>
      </c>
      <c r="W8" s="7" t="n">
        <v>106.52</v>
      </c>
      <c r="X8" s="7" t="n">
        <v>300.6</v>
      </c>
      <c r="Y8" s="5" t="n">
        <f aca="false">IF(AND(ISNUMBER(W8),ISNUMBER(X8)),X8/W8-1,"")</f>
        <v>1.82200525722869</v>
      </c>
      <c r="Z8" s="5" t="n">
        <v>1.82200540346226</v>
      </c>
      <c r="AA8" s="5" t="n">
        <v>0.1636337629968</v>
      </c>
      <c r="AB8" s="3"/>
      <c r="AC8" s="5" t="n">
        <f aca="false">IF(AND(ISNUMBER(N8),ISNUMBER(AA8)),N8-AA8,"")</f>
        <v>0.173808928295938</v>
      </c>
    </row>
    <row r="9" customFormat="false" ht="15" hidden="false" customHeight="false" outlineLevel="0" collapsed="false">
      <c r="A9" s="3" t="s">
        <v>58</v>
      </c>
      <c r="B9" s="3" t="s">
        <v>59</v>
      </c>
      <c r="C9" s="3" t="s">
        <v>38</v>
      </c>
      <c r="D9" s="4" t="n">
        <v>25956</v>
      </c>
      <c r="E9" s="4" t="n">
        <v>23078</v>
      </c>
      <c r="F9" s="4" t="n">
        <v>20585</v>
      </c>
      <c r="G9" s="4" t="n">
        <v>20813</v>
      </c>
      <c r="H9" s="4" t="n">
        <v>23959</v>
      </c>
      <c r="I9" s="4" t="n">
        <v>3549</v>
      </c>
      <c r="J9" s="4" t="n">
        <v>2554</v>
      </c>
      <c r="K9" s="4" t="n">
        <v>1708</v>
      </c>
      <c r="L9" s="4" t="n">
        <v>2481</v>
      </c>
      <c r="M9" s="4" t="n">
        <v>3469</v>
      </c>
      <c r="N9" s="5" t="n">
        <v>0.0833507241537628</v>
      </c>
      <c r="O9" s="5" t="n">
        <v>0.0230614009801096</v>
      </c>
      <c r="P9" s="5" t="n">
        <v>0.124707513649363</v>
      </c>
      <c r="Q9" s="5" t="n">
        <v>0.121107602623269</v>
      </c>
      <c r="R9" s="5" t="n">
        <v>-0.0109546917791765</v>
      </c>
      <c r="S9" s="5" t="n">
        <v>-0.131307650569723</v>
      </c>
      <c r="T9" s="3" t="s">
        <v>32</v>
      </c>
      <c r="U9" s="6" t="s">
        <v>42</v>
      </c>
      <c r="V9" s="3" t="s">
        <v>43</v>
      </c>
      <c r="W9" s="7" t="n">
        <v>257.33</v>
      </c>
      <c r="X9" s="7" t="n">
        <v>191.36</v>
      </c>
      <c r="Y9" s="5" t="n">
        <f aca="false">IF(AND(ISNUMBER(W9),ISNUMBER(X9)),X9/W9-1,"")</f>
        <v>-0.256363424396689</v>
      </c>
      <c r="Z9" s="5" t="n">
        <v>-0.241086404350962</v>
      </c>
      <c r="AA9" s="5" t="n">
        <v>0.0158144662087678</v>
      </c>
      <c r="AB9" s="3" t="s">
        <v>32</v>
      </c>
      <c r="AC9" s="5" t="n">
        <f aca="false">IF(AND(ISNUMBER(N9),ISNUMBER(AA9)),N9-AA9,"")</f>
        <v>0.067536257944995</v>
      </c>
    </row>
    <row r="10" customFormat="false" ht="15" hidden="false" customHeight="false" outlineLevel="0" collapsed="false">
      <c r="A10" s="3" t="s">
        <v>60</v>
      </c>
      <c r="B10" s="3" t="s">
        <v>61</v>
      </c>
      <c r="C10" s="3" t="s">
        <v>31</v>
      </c>
      <c r="D10" s="4" t="n">
        <v>3035.7</v>
      </c>
      <c r="E10" s="4" t="n">
        <v>2709</v>
      </c>
      <c r="F10" s="4" t="n">
        <v>2487.8</v>
      </c>
      <c r="G10" s="4" t="n">
        <v>2308.3</v>
      </c>
      <c r="H10" s="4" t="n">
        <v>2204.8</v>
      </c>
      <c r="I10" s="4" t="n">
        <v>1378</v>
      </c>
      <c r="J10" s="4" t="n">
        <v>1157.8</v>
      </c>
      <c r="K10" s="4" t="n">
        <v>1032.9</v>
      </c>
      <c r="L10" s="4" t="n">
        <v>978.2</v>
      </c>
      <c r="M10" s="4" t="n">
        <v>986.2</v>
      </c>
      <c r="N10" s="5" t="n">
        <v>0.376859579100145</v>
      </c>
      <c r="O10" s="5" t="n">
        <v>0.39728249847901</v>
      </c>
      <c r="P10" s="5" t="n">
        <v>0.120598006644518</v>
      </c>
      <c r="Q10" s="5" t="n">
        <v>0.088913899831176</v>
      </c>
      <c r="R10" s="5" t="n">
        <v>0.0777628557813108</v>
      </c>
      <c r="S10" s="5" t="n">
        <v>0.0469430333817127</v>
      </c>
      <c r="T10" s="3" t="s">
        <v>32</v>
      </c>
      <c r="U10" s="6" t="s">
        <v>62</v>
      </c>
      <c r="V10" s="3" t="s">
        <v>34</v>
      </c>
      <c r="W10" s="7" t="n">
        <v>142.64</v>
      </c>
      <c r="X10" s="7" t="n">
        <v>203.47</v>
      </c>
      <c r="Y10" s="5" t="n">
        <f aca="false">IF(AND(ISNUMBER(W10),ISNUMBER(X10)),X10/W10-1,"")</f>
        <v>0.426458216489064</v>
      </c>
      <c r="Z10" s="5" t="n">
        <v>0.426458231150758</v>
      </c>
      <c r="AA10" s="5" t="n">
        <v>0.30430667297681</v>
      </c>
      <c r="AB10" s="3"/>
      <c r="AC10" s="5" t="n">
        <f aca="false">IF(AND(ISNUMBER(N10),ISNUMBER(AA10)),N10-AA10,"")</f>
        <v>0.072552906123335</v>
      </c>
    </row>
    <row r="11" customFormat="false" ht="15" hidden="false" customHeight="false" outlineLevel="0" collapsed="false">
      <c r="A11" s="3" t="s">
        <v>63</v>
      </c>
      <c r="B11" s="3" t="s">
        <v>64</v>
      </c>
      <c r="C11" s="3" t="s">
        <v>65</v>
      </c>
      <c r="D11" s="4" t="n">
        <v>3718.8</v>
      </c>
      <c r="E11" s="4" t="n">
        <v>3345.3</v>
      </c>
      <c r="F11" s="4" t="n">
        <v>3102.1</v>
      </c>
      <c r="G11" s="4" t="n">
        <v>3044.7</v>
      </c>
      <c r="H11" s="4" t="n">
        <v>3271.7</v>
      </c>
      <c r="I11" s="4" t="n">
        <v>537.6</v>
      </c>
      <c r="J11" s="4" t="n">
        <v>440.3</v>
      </c>
      <c r="K11" s="4" t="n">
        <v>325.6</v>
      </c>
      <c r="L11" s="4" t="n">
        <v>303.1</v>
      </c>
      <c r="M11" s="4" t="n">
        <v>455.7</v>
      </c>
      <c r="N11" s="5" t="n">
        <v>0.136656783934957</v>
      </c>
      <c r="O11" s="5" t="n">
        <v>0.179723502304148</v>
      </c>
      <c r="P11" s="5" t="n">
        <v>0.11164917944579</v>
      </c>
      <c r="Q11" s="5" t="n">
        <v>0.0783985042390638</v>
      </c>
      <c r="R11" s="5" t="n">
        <v>0.018852432095116</v>
      </c>
      <c r="S11" s="5" t="n">
        <v>-0.0693828896292448</v>
      </c>
      <c r="T11" s="3" t="s">
        <v>32</v>
      </c>
      <c r="U11" s="6" t="s">
        <v>66</v>
      </c>
      <c r="V11" s="3" t="s">
        <v>43</v>
      </c>
      <c r="W11" s="7" t="n">
        <v>186.61</v>
      </c>
      <c r="X11" s="7" t="n">
        <v>213.69</v>
      </c>
      <c r="Y11" s="5" t="n">
        <f aca="false">IF(AND(ISNUMBER(W11),ISNUMBER(X11)),X11/W11-1,"")</f>
        <v>0.145115481485451</v>
      </c>
      <c r="Z11" s="5" t="n">
        <v>0.181437701683097</v>
      </c>
      <c r="AA11" s="5" t="n">
        <v>0.106313191086464</v>
      </c>
      <c r="AB11" s="3"/>
      <c r="AC11" s="5" t="n">
        <f aca="false">IF(AND(ISNUMBER(N11),ISNUMBER(AA11)),N11-AA11,"")</f>
        <v>0.0303435928484932</v>
      </c>
    </row>
    <row r="12" customFormat="false" ht="15" hidden="false" customHeight="false" outlineLevel="0" collapsed="false">
      <c r="A12" s="3" t="s">
        <v>67</v>
      </c>
      <c r="B12" s="3" t="s">
        <v>68</v>
      </c>
      <c r="C12" s="3" t="s">
        <v>31</v>
      </c>
      <c r="D12" s="4" t="n">
        <v>2547</v>
      </c>
      <c r="E12" s="4" t="n">
        <v>2313</v>
      </c>
      <c r="F12" s="4" t="n">
        <v>2168</v>
      </c>
      <c r="G12" s="4" t="n">
        <v>2089</v>
      </c>
      <c r="H12" s="4" t="n">
        <v>2053</v>
      </c>
      <c r="I12" s="4" t="n">
        <v>711</v>
      </c>
      <c r="J12" s="4" t="n">
        <v>660</v>
      </c>
      <c r="K12" s="4" t="n">
        <v>577</v>
      </c>
      <c r="L12" s="4" t="n">
        <v>542</v>
      </c>
      <c r="M12" s="4" t="n">
        <v>521</v>
      </c>
      <c r="N12" s="5" t="n">
        <v>0.240623477837311</v>
      </c>
      <c r="O12" s="5" t="n">
        <v>0.36468330134357</v>
      </c>
      <c r="P12" s="5" t="n">
        <v>0.101167315175097</v>
      </c>
      <c r="Q12" s="5" t="n">
        <v>0.0668819188191883</v>
      </c>
      <c r="R12" s="5" t="n">
        <v>0.0378171373863092</v>
      </c>
      <c r="S12" s="5" t="n">
        <v>0.017535314174379</v>
      </c>
      <c r="T12" s="3" t="s">
        <v>32</v>
      </c>
      <c r="U12" s="6" t="s">
        <v>69</v>
      </c>
      <c r="V12" s="3" t="s">
        <v>47</v>
      </c>
      <c r="W12" s="7" t="n">
        <v>190.22</v>
      </c>
      <c r="X12" s="7" t="n">
        <v>228.78</v>
      </c>
      <c r="Y12" s="5" t="n">
        <f aca="false">IF(AND(ISNUMBER(W12),ISNUMBER(X12)),X12/W12-1,"")</f>
        <v>0.202712648512249</v>
      </c>
      <c r="Z12" s="5" t="n">
        <v>0.20521660228749</v>
      </c>
      <c r="AA12" s="5" t="n">
        <v>0.0920212765957447</v>
      </c>
      <c r="AB12" s="3"/>
      <c r="AC12" s="5" t="n">
        <f aca="false">IF(AND(ISNUMBER(N12),ISNUMBER(AA12)),N12-AA12,"")</f>
        <v>0.148602201241567</v>
      </c>
    </row>
    <row r="13" customFormat="false" ht="15" hidden="false" customHeight="false" outlineLevel="0" collapsed="false">
      <c r="A13" s="8" t="s">
        <v>70</v>
      </c>
      <c r="B13" s="8" t="s">
        <v>71</v>
      </c>
      <c r="C13" s="8" t="s">
        <v>31</v>
      </c>
      <c r="D13" s="9" t="n">
        <v>11153</v>
      </c>
      <c r="E13" s="9" t="n">
        <v>5057</v>
      </c>
      <c r="F13" s="9" t="n">
        <v>9864</v>
      </c>
      <c r="G13" s="9" t="n">
        <v>9823</v>
      </c>
      <c r="H13" s="9" t="n">
        <v>6814</v>
      </c>
      <c r="I13" s="9" t="n">
        <v>2850</v>
      </c>
      <c r="J13" s="9" t="n">
        <v>794</v>
      </c>
      <c r="K13" s="9" t="n">
        <v>2105</v>
      </c>
      <c r="L13" s="9" t="n">
        <v>3172</v>
      </c>
      <c r="M13" s="9" t="n">
        <v>1448</v>
      </c>
      <c r="N13" s="10" t="n">
        <v>0.636777223363663</v>
      </c>
      <c r="O13" s="10" t="n">
        <v>0.968232044198895</v>
      </c>
      <c r="P13" s="10" t="n">
        <v>1.20545778129326</v>
      </c>
      <c r="Q13" s="10" t="n">
        <v>-0.487327656123277</v>
      </c>
      <c r="R13" s="10" t="n">
        <v>0.00417387763412402</v>
      </c>
      <c r="S13" s="10" t="n">
        <v>0.441590842383328</v>
      </c>
      <c r="T13" s="11" t="s">
        <v>35</v>
      </c>
      <c r="U13" s="11" t="s">
        <v>72</v>
      </c>
      <c r="V13" s="8" t="s">
        <v>51</v>
      </c>
      <c r="W13" s="12" t="n">
        <v>137.16</v>
      </c>
      <c r="X13" s="12" t="n">
        <v>124.36</v>
      </c>
      <c r="Y13" s="10" t="n">
        <f aca="false">IF(AND(ISNUMBER(W13),ISNUMBER(X13)),X13/W13-1,"")</f>
        <v>-0.0933216681248177</v>
      </c>
      <c r="Z13" s="10" t="n">
        <v>-0.0783180994893805</v>
      </c>
      <c r="AA13" s="10" t="n">
        <v>0.13226985709538</v>
      </c>
      <c r="AB13" s="11" t="s">
        <v>35</v>
      </c>
      <c r="AC13" s="10" t="n">
        <f aca="false">IF(AND(ISNUMBER(N13),ISNUMBER(AA13)),N13-AA13,"")</f>
        <v>0.504507366268283</v>
      </c>
    </row>
    <row r="14" customFormat="false" ht="15" hidden="false" customHeight="false" outlineLevel="0" collapsed="false">
      <c r="A14" s="8" t="s">
        <v>73</v>
      </c>
      <c r="B14" s="8" t="s">
        <v>74</v>
      </c>
      <c r="C14" s="8" t="s">
        <v>31</v>
      </c>
      <c r="D14" s="9" t="n">
        <v>7666.858</v>
      </c>
      <c r="E14" s="9" t="n">
        <v>3793.029</v>
      </c>
      <c r="F14" s="9" t="n">
        <v>6313.505</v>
      </c>
      <c r="G14" s="9" t="n">
        <v>8499.143</v>
      </c>
      <c r="H14" s="9" t="n">
        <v>7006.641</v>
      </c>
      <c r="I14" s="9" t="n">
        <v>513.401</v>
      </c>
      <c r="J14" s="9" t="n">
        <v>-376.538</v>
      </c>
      <c r="K14" s="9" t="n">
        <v>-143.275</v>
      </c>
      <c r="L14" s="9" t="n">
        <v>777.6</v>
      </c>
      <c r="M14" s="9" t="n">
        <v>485.797</v>
      </c>
      <c r="N14" s="10" t="n">
        <v>0.0942273194816174</v>
      </c>
      <c r="O14" s="10" t="n">
        <v>0.0568220882385029</v>
      </c>
      <c r="P14" s="10" t="n">
        <v>1.02130223628662</v>
      </c>
      <c r="Q14" s="10" t="n">
        <v>-0.399219767783505</v>
      </c>
      <c r="R14" s="10" t="n">
        <v>-0.25715981011262</v>
      </c>
      <c r="S14" s="10" t="n">
        <v>0.213012483442494</v>
      </c>
      <c r="T14" s="11" t="s">
        <v>35</v>
      </c>
      <c r="U14" s="11" t="s">
        <v>75</v>
      </c>
      <c r="V14" s="8" t="s">
        <v>76</v>
      </c>
      <c r="W14" s="12" t="n">
        <v>162.08</v>
      </c>
      <c r="X14" s="12" t="n">
        <v>169.03</v>
      </c>
      <c r="Y14" s="10" t="n">
        <f aca="false">IF(AND(ISNUMBER(W14),ISNUMBER(X14)),X14/W14-1,"")</f>
        <v>0.0428800592300098</v>
      </c>
      <c r="Z14" s="10" t="n">
        <v>0.0428800399168712</v>
      </c>
      <c r="AA14" s="10" t="n">
        <v>0.163233786276757</v>
      </c>
      <c r="AB14" s="11" t="s">
        <v>35</v>
      </c>
      <c r="AC14" s="10" t="n">
        <f aca="false">IF(AND(ISNUMBER(N14),ISNUMBER(AA14)),N14-AA14,"")</f>
        <v>-0.0690064667951398</v>
      </c>
    </row>
    <row r="15" customFormat="false" ht="15" hidden="false" customHeight="false" outlineLevel="0" collapsed="false">
      <c r="A15" s="8" t="s">
        <v>77</v>
      </c>
      <c r="B15" s="8" t="s">
        <v>78</v>
      </c>
      <c r="C15" s="8" t="s">
        <v>31</v>
      </c>
      <c r="D15" s="9" t="n">
        <v>7417</v>
      </c>
      <c r="E15" s="9" t="n">
        <v>3807</v>
      </c>
      <c r="F15" s="9" t="n">
        <v>4121</v>
      </c>
      <c r="G15" s="9" t="n">
        <v>4331</v>
      </c>
      <c r="H15" s="9" t="n">
        <v>4284</v>
      </c>
      <c r="I15" s="9" t="n">
        <v>2543</v>
      </c>
      <c r="J15" s="9" t="n">
        <v>312</v>
      </c>
      <c r="K15" s="9" t="n">
        <v>841</v>
      </c>
      <c r="L15" s="9" t="n">
        <v>982</v>
      </c>
      <c r="M15" s="9" t="n">
        <v>981</v>
      </c>
      <c r="N15" s="10" t="n">
        <v>0.731325863678805</v>
      </c>
      <c r="O15" s="10" t="n">
        <v>1.59225280326198</v>
      </c>
      <c r="P15" s="10" t="n">
        <v>0.948253217756764</v>
      </c>
      <c r="Q15" s="10" t="n">
        <v>-0.0761950982771172</v>
      </c>
      <c r="R15" s="10" t="n">
        <v>-0.0484876471946433</v>
      </c>
      <c r="S15" s="10" t="n">
        <v>0.0109710550887021</v>
      </c>
      <c r="T15" s="11" t="s">
        <v>35</v>
      </c>
      <c r="U15" s="11" t="s">
        <v>79</v>
      </c>
      <c r="V15" s="8" t="s">
        <v>80</v>
      </c>
      <c r="W15" s="12" t="n">
        <v>35.21</v>
      </c>
      <c r="X15" s="12" t="n">
        <v>48.04</v>
      </c>
      <c r="Y15" s="10" t="n">
        <f aca="false">IF(AND(ISNUMBER(W15),ISNUMBER(X15)),X15/W15-1,"")</f>
        <v>0.364385117864243</v>
      </c>
      <c r="Z15" s="10" t="n">
        <v>0.399162129134595</v>
      </c>
      <c r="AA15" s="10" t="n">
        <v>0.0936941536890477</v>
      </c>
      <c r="AB15" s="8"/>
      <c r="AC15" s="10" t="n">
        <f aca="false">IF(AND(ISNUMBER(N15),ISNUMBER(AA15)),N15-AA15,"")</f>
        <v>0.637631709989757</v>
      </c>
    </row>
    <row r="16" customFormat="false" ht="15" hidden="false" customHeight="false" outlineLevel="0" collapsed="false">
      <c r="A16" s="8" t="s">
        <v>81</v>
      </c>
      <c r="B16" s="8" t="s">
        <v>82</v>
      </c>
      <c r="C16" s="8" t="s">
        <v>31</v>
      </c>
      <c r="D16" s="9" t="n">
        <v>7309</v>
      </c>
      <c r="E16" s="9" t="n">
        <v>3976</v>
      </c>
      <c r="F16" s="9" t="n">
        <v>4499</v>
      </c>
      <c r="G16" s="9" t="n">
        <v>4306</v>
      </c>
      <c r="H16" s="9" t="n">
        <v>4163</v>
      </c>
      <c r="I16" s="9" t="n">
        <v>628</v>
      </c>
      <c r="J16" s="9" t="n">
        <v>756</v>
      </c>
      <c r="K16" s="9" t="n">
        <v>959</v>
      </c>
      <c r="L16" s="9" t="n">
        <v>995</v>
      </c>
      <c r="M16" s="9" t="n">
        <v>898</v>
      </c>
      <c r="N16" s="10" t="n">
        <v>0.755705020417968</v>
      </c>
      <c r="O16" s="10" t="n">
        <v>-0.300668151447662</v>
      </c>
      <c r="P16" s="10" t="n">
        <v>0.838279678068411</v>
      </c>
      <c r="Q16" s="10" t="n">
        <v>-0.116248055123361</v>
      </c>
      <c r="R16" s="10" t="n">
        <v>0.0448211797491871</v>
      </c>
      <c r="S16" s="10" t="n">
        <v>0.0343502282008168</v>
      </c>
      <c r="T16" s="11" t="s">
        <v>35</v>
      </c>
      <c r="U16" s="11" t="s">
        <v>83</v>
      </c>
      <c r="V16" s="8" t="s">
        <v>84</v>
      </c>
      <c r="W16" s="12" t="n">
        <v>26.25</v>
      </c>
      <c r="X16" s="12" t="n">
        <v>31.76</v>
      </c>
      <c r="Y16" s="10" t="n">
        <f aca="false">IF(AND(ISNUMBER(W16),ISNUMBER(X16)),X16/W16-1,"")</f>
        <v>0.209904761904762</v>
      </c>
      <c r="Z16" s="10" t="n">
        <v>0.250633864584383</v>
      </c>
      <c r="AA16" s="10" t="n">
        <v>0.0614482406935237</v>
      </c>
      <c r="AB16" s="11" t="s">
        <v>35</v>
      </c>
      <c r="AC16" s="10" t="n">
        <f aca="false">IF(AND(ISNUMBER(N16),ISNUMBER(AA16)),N16-AA16,"")</f>
        <v>0.694256779724444</v>
      </c>
    </row>
    <row r="17" customFormat="false" ht="15" hidden="false" customHeight="false" outlineLevel="0" collapsed="false">
      <c r="A17" s="8" t="s">
        <v>85</v>
      </c>
      <c r="B17" s="8" t="s">
        <v>86</v>
      </c>
      <c r="C17" s="8" t="s">
        <v>65</v>
      </c>
      <c r="D17" s="9" t="n">
        <v>41456</v>
      </c>
      <c r="E17" s="9" t="n">
        <v>23860</v>
      </c>
      <c r="F17" s="9" t="n">
        <v>13643</v>
      </c>
      <c r="G17" s="9" t="n">
        <v>11315</v>
      </c>
      <c r="H17" s="9" t="n">
        <v>9301</v>
      </c>
      <c r="I17" s="9" t="n">
        <v>33318</v>
      </c>
      <c r="J17" s="9" t="n">
        <v>16135</v>
      </c>
      <c r="K17" s="9" t="n">
        <v>6136</v>
      </c>
      <c r="L17" s="9" t="n">
        <v>3693</v>
      </c>
      <c r="M17" s="9" t="n">
        <v>2169</v>
      </c>
      <c r="N17" s="10" t="n">
        <v>3.45715514460811</v>
      </c>
      <c r="O17" s="10" t="n">
        <v>14.3609958506224</v>
      </c>
      <c r="P17" s="10" t="n">
        <v>0.737468566638726</v>
      </c>
      <c r="Q17" s="10" t="n">
        <v>0.74888221065748</v>
      </c>
      <c r="R17" s="10" t="n">
        <v>0.205744586831639</v>
      </c>
      <c r="S17" s="10" t="n">
        <v>0.216535856359531</v>
      </c>
      <c r="T17" s="11" t="s">
        <v>35</v>
      </c>
      <c r="U17" s="8" t="s">
        <v>87</v>
      </c>
      <c r="V17" s="8" t="s">
        <v>34</v>
      </c>
      <c r="W17" s="12" t="n">
        <v>161.71</v>
      </c>
      <c r="X17" s="12" t="n">
        <v>1071.88</v>
      </c>
      <c r="Y17" s="10" t="n">
        <f aca="false">IF(AND(ISNUMBER(W17),ISNUMBER(X17)),X17/W17-1,"")</f>
        <v>5.628408880094</v>
      </c>
      <c r="Z17" s="10" t="n">
        <v>5.63904707043719</v>
      </c>
      <c r="AA17" s="10" t="n">
        <v>0.365585082954045</v>
      </c>
      <c r="AB17" s="11" t="s">
        <v>35</v>
      </c>
      <c r="AC17" s="10" t="n">
        <f aca="false">IF(AND(ISNUMBER(N17),ISNUMBER(AA17)),N17-AA17,"")</f>
        <v>3.09157006165406</v>
      </c>
    </row>
    <row r="18" customFormat="false" ht="15" hidden="false" customHeight="false" outlineLevel="0" collapsed="false">
      <c r="A18" s="8" t="s">
        <v>88</v>
      </c>
      <c r="B18" s="8" t="s">
        <v>89</v>
      </c>
      <c r="C18" s="8" t="s">
        <v>31</v>
      </c>
      <c r="D18" s="9" t="n">
        <v>51004</v>
      </c>
      <c r="E18" s="9" t="n">
        <v>32540</v>
      </c>
      <c r="F18" s="9" t="n">
        <v>34108</v>
      </c>
      <c r="G18" s="9" t="n">
        <v>34515</v>
      </c>
      <c r="H18" s="9" t="n">
        <v>33323</v>
      </c>
      <c r="I18" s="9" t="n">
        <v>4280</v>
      </c>
      <c r="J18" s="9" t="n">
        <v>114</v>
      </c>
      <c r="K18" s="9" t="n">
        <v>1621</v>
      </c>
      <c r="L18" s="9" t="n">
        <v>965</v>
      </c>
      <c r="M18" s="9" t="n">
        <v>1190</v>
      </c>
      <c r="N18" s="10" t="n">
        <v>0.53059448429013</v>
      </c>
      <c r="O18" s="10" t="n">
        <v>2.59663865546219</v>
      </c>
      <c r="P18" s="10" t="n">
        <v>0.567424708051629</v>
      </c>
      <c r="Q18" s="10" t="n">
        <v>-0.0459716195613932</v>
      </c>
      <c r="R18" s="10" t="n">
        <v>-0.011791974503839</v>
      </c>
      <c r="S18" s="10" t="n">
        <v>0.0357710890376017</v>
      </c>
      <c r="T18" s="11" t="s">
        <v>35</v>
      </c>
      <c r="U18" s="11" t="s">
        <v>90</v>
      </c>
      <c r="V18" s="8" t="s">
        <v>80</v>
      </c>
      <c r="W18" s="12" t="n">
        <v>136.59</v>
      </c>
      <c r="X18" s="12" t="n">
        <v>256.48</v>
      </c>
      <c r="Y18" s="10" t="n">
        <f aca="false">IF(AND(ISNUMBER(W18),ISNUMBER(X18)),X18/W18-1,"")</f>
        <v>0.877736291090124</v>
      </c>
      <c r="Z18" s="10" t="n">
        <v>0.933340387917797</v>
      </c>
      <c r="AA18" s="10" t="n">
        <v>-0.126045791916914</v>
      </c>
      <c r="AB18" s="8"/>
      <c r="AC18" s="10" t="n">
        <f aca="false">IF(AND(ISNUMBER(N18),ISNUMBER(AA18)),N18-AA18,"")</f>
        <v>0.656640276207044</v>
      </c>
    </row>
    <row r="19" customFormat="false" ht="15" hidden="false" customHeight="false" outlineLevel="0" collapsed="false">
      <c r="A19" s="8" t="s">
        <v>91</v>
      </c>
      <c r="B19" s="8" t="s">
        <v>92</v>
      </c>
      <c r="C19" s="8" t="s">
        <v>31</v>
      </c>
      <c r="D19" s="9" t="n">
        <v>8065</v>
      </c>
      <c r="E19" s="9" t="n">
        <v>5230</v>
      </c>
      <c r="F19" s="9" t="n">
        <v>1752</v>
      </c>
      <c r="G19" s="9" t="n">
        <v>6624</v>
      </c>
      <c r="H19" s="9" t="n">
        <v>5258</v>
      </c>
      <c r="I19" s="9" t="n">
        <v>3665</v>
      </c>
      <c r="J19" s="9" t="n">
        <v>927</v>
      </c>
      <c r="K19" s="9" t="n">
        <v>117</v>
      </c>
      <c r="L19" s="9" t="n">
        <v>1174</v>
      </c>
      <c r="M19" s="9" t="n">
        <v>798</v>
      </c>
      <c r="N19" s="10" t="n">
        <v>0.53385317611259</v>
      </c>
      <c r="O19" s="10" t="n">
        <v>3.59273182957394</v>
      </c>
      <c r="P19" s="10" t="n">
        <v>0.54206500956023</v>
      </c>
      <c r="Q19" s="10" t="n">
        <v>1.9851598173516</v>
      </c>
      <c r="R19" s="10" t="n">
        <v>-0.735507246376812</v>
      </c>
      <c r="S19" s="10" t="n">
        <v>0.259794598706733</v>
      </c>
      <c r="T19" s="11" t="s">
        <v>35</v>
      </c>
      <c r="U19" s="11" t="s">
        <v>93</v>
      </c>
      <c r="V19" s="8" t="s">
        <v>80</v>
      </c>
      <c r="W19" s="12" t="n">
        <v>46.89</v>
      </c>
      <c r="X19" s="12" t="n">
        <v>57.36</v>
      </c>
      <c r="Y19" s="10" t="n">
        <f aca="false">IF(AND(ISNUMBER(W19),ISNUMBER(X19)),X19/W19-1,"")</f>
        <v>0.223288547664747</v>
      </c>
      <c r="Z19" s="10" t="n">
        <v>0.247646543652047</v>
      </c>
      <c r="AA19" s="10" t="n">
        <v>-0.059116913598357</v>
      </c>
      <c r="AB19" s="8"/>
      <c r="AC19" s="10" t="n">
        <f aca="false">IF(AND(ISNUMBER(N19),ISNUMBER(AA19)),N19-AA19,"")</f>
        <v>0.592970089710947</v>
      </c>
    </row>
    <row r="20" customFormat="false" ht="15" hidden="false" customHeight="false" outlineLevel="0" collapsed="false">
      <c r="A20" s="8" t="s">
        <v>94</v>
      </c>
      <c r="B20" s="8" t="s">
        <v>95</v>
      </c>
      <c r="C20" s="8" t="s">
        <v>31</v>
      </c>
      <c r="D20" s="9" t="n">
        <v>51994</v>
      </c>
      <c r="E20" s="9" t="n">
        <v>34200</v>
      </c>
      <c r="F20" s="9" t="n">
        <v>32574</v>
      </c>
      <c r="G20" s="9" t="n">
        <v>34809</v>
      </c>
      <c r="H20" s="9" t="n">
        <v>33799</v>
      </c>
      <c r="I20" s="9" t="n">
        <v>6979</v>
      </c>
      <c r="J20" s="9" t="n">
        <v>1036</v>
      </c>
      <c r="K20" s="9" t="n">
        <v>1846</v>
      </c>
      <c r="L20" s="9" t="n">
        <v>1673</v>
      </c>
      <c r="M20" s="9" t="n">
        <v>1895</v>
      </c>
      <c r="N20" s="10" t="n">
        <v>0.538329536376816</v>
      </c>
      <c r="O20" s="10" t="n">
        <v>2.68284960422164</v>
      </c>
      <c r="P20" s="10" t="n">
        <v>0.520292397660819</v>
      </c>
      <c r="Q20" s="10" t="n">
        <v>0.0499171118069626</v>
      </c>
      <c r="R20" s="10" t="n">
        <v>-0.0642075325346894</v>
      </c>
      <c r="S20" s="10" t="n">
        <v>0.029882540903577</v>
      </c>
      <c r="T20" s="11" t="s">
        <v>35</v>
      </c>
      <c r="U20" s="11" t="s">
        <v>96</v>
      </c>
      <c r="V20" s="8" t="s">
        <v>80</v>
      </c>
      <c r="W20" s="12" t="n">
        <v>193.1</v>
      </c>
      <c r="X20" s="12" t="n">
        <v>388.38</v>
      </c>
      <c r="Y20" s="10" t="n">
        <f aca="false">IF(AND(ISNUMBER(W20),ISNUMBER(X20)),X20/W20-1,"")</f>
        <v>1.01128948731227</v>
      </c>
      <c r="Z20" s="10" t="n">
        <v>1.0448838721376</v>
      </c>
      <c r="AA20" s="10" t="n">
        <v>-0.10853510576568</v>
      </c>
      <c r="AB20" s="8" t="s">
        <v>97</v>
      </c>
      <c r="AC20" s="10" t="n">
        <f aca="false">IF(AND(ISNUMBER(N20),ISNUMBER(AA20)),N20-AA20,"")</f>
        <v>0.646864642142496</v>
      </c>
    </row>
    <row r="21" customFormat="false" ht="15" hidden="false" customHeight="false" outlineLevel="0" collapsed="false">
      <c r="A21" s="8" t="s">
        <v>98</v>
      </c>
      <c r="B21" s="8" t="s">
        <v>99</v>
      </c>
      <c r="C21" s="8" t="s">
        <v>31</v>
      </c>
      <c r="D21" s="9" t="n">
        <v>8965</v>
      </c>
      <c r="E21" s="9" t="n">
        <v>5950</v>
      </c>
      <c r="F21" s="9" t="n">
        <v>3025</v>
      </c>
      <c r="G21" s="9" t="n">
        <v>2308</v>
      </c>
      <c r="H21" s="9" t="n">
        <v>1901</v>
      </c>
      <c r="I21" s="9" t="n">
        <v>7037</v>
      </c>
      <c r="J21" s="9" t="n">
        <v>4164</v>
      </c>
      <c r="K21" s="9" t="n">
        <v>1075</v>
      </c>
      <c r="L21" s="9" t="n">
        <v>192</v>
      </c>
      <c r="M21" s="9" t="n">
        <v>51</v>
      </c>
      <c r="N21" s="10" t="n">
        <v>3.71593897948448</v>
      </c>
      <c r="O21" s="10" t="n">
        <v>136.980392156863</v>
      </c>
      <c r="P21" s="10" t="n">
        <v>0.50672268907563</v>
      </c>
      <c r="Q21" s="10" t="n">
        <v>0.966942148760331</v>
      </c>
      <c r="R21" s="10" t="n">
        <v>0.310658578856152</v>
      </c>
      <c r="S21" s="10" t="n">
        <v>0.2140978432404</v>
      </c>
      <c r="T21" s="11" t="s">
        <v>35</v>
      </c>
      <c r="U21" s="11" t="s">
        <v>100</v>
      </c>
      <c r="V21" s="8" t="s">
        <v>34</v>
      </c>
      <c r="W21" s="12" t="n">
        <v>99.83</v>
      </c>
      <c r="X21" s="12" t="n">
        <v>1816.5699</v>
      </c>
      <c r="Y21" s="10" t="n">
        <f aca="false">IF(AND(ISNUMBER(W21),ISNUMBER(X21)),X21/W21-1,"")</f>
        <v>17.1966332765702</v>
      </c>
      <c r="Z21" s="10" t="n">
        <v>17.1966334064914</v>
      </c>
      <c r="AA21" s="10" t="n">
        <v>0.114956011730205</v>
      </c>
      <c r="AB21" s="11" t="s">
        <v>35</v>
      </c>
      <c r="AC21" s="10" t="n">
        <f aca="false">IF(AND(ISNUMBER(N21),ISNUMBER(AA21)),N21-AA21,"")</f>
        <v>3.60098296775428</v>
      </c>
    </row>
    <row r="22" customFormat="false" ht="15" hidden="false" customHeight="false" outlineLevel="0" collapsed="false">
      <c r="A22" s="8" t="s">
        <v>101</v>
      </c>
      <c r="B22" s="8" t="s">
        <v>102</v>
      </c>
      <c r="C22" s="8" t="s">
        <v>31</v>
      </c>
      <c r="D22" s="9" t="n">
        <v>10777</v>
      </c>
      <c r="E22" s="9" t="n">
        <v>7370</v>
      </c>
      <c r="F22" s="9" t="n">
        <v>9416</v>
      </c>
      <c r="G22" s="9" t="n">
        <v>11069</v>
      </c>
      <c r="H22" s="9" t="n">
        <v>10206</v>
      </c>
      <c r="I22" s="9" t="n">
        <v>2027</v>
      </c>
      <c r="J22" s="9" t="n">
        <v>-12</v>
      </c>
      <c r="K22" s="9" t="n">
        <v>1442</v>
      </c>
      <c r="L22" s="9" t="n">
        <v>1971</v>
      </c>
      <c r="M22" s="9" t="n">
        <v>1906</v>
      </c>
      <c r="N22" s="10" t="n">
        <v>0.0559474818734078</v>
      </c>
      <c r="O22" s="10" t="n">
        <v>0.0634837355718783</v>
      </c>
      <c r="P22" s="10" t="n">
        <v>0.462279511533243</v>
      </c>
      <c r="Q22" s="10" t="n">
        <v>-0.217289719626168</v>
      </c>
      <c r="R22" s="10" t="n">
        <v>-0.149335983376999</v>
      </c>
      <c r="S22" s="10" t="n">
        <v>0.0845581030766216</v>
      </c>
      <c r="T22" s="11" t="s">
        <v>35</v>
      </c>
      <c r="U22" s="11" t="s">
        <v>103</v>
      </c>
      <c r="V22" s="8" t="s">
        <v>104</v>
      </c>
      <c r="W22" s="12" t="n">
        <v>112.6</v>
      </c>
      <c r="X22" s="12" t="n">
        <v>85.23</v>
      </c>
      <c r="Y22" s="10" t="n">
        <f aca="false">IF(AND(ISNUMBER(W22),ISNUMBER(X22)),X22/W22-1,"")</f>
        <v>-0.243072824156305</v>
      </c>
      <c r="Z22" s="10" t="n">
        <v>-0.234588575327332</v>
      </c>
      <c r="AA22" s="10" t="n">
        <v>0.0571783716594159</v>
      </c>
      <c r="AB22" s="11" t="s">
        <v>35</v>
      </c>
      <c r="AC22" s="10" t="n">
        <f aca="false">IF(AND(ISNUMBER(N22),ISNUMBER(AA22)),N22-AA22,"")</f>
        <v>-0.00123088978600805</v>
      </c>
    </row>
    <row r="23" customFormat="false" ht="15" hidden="false" customHeight="false" outlineLevel="0" collapsed="false">
      <c r="A23" s="8" t="s">
        <v>105</v>
      </c>
      <c r="B23" s="8" t="s">
        <v>106</v>
      </c>
      <c r="C23" s="8" t="s">
        <v>31</v>
      </c>
      <c r="D23" s="9" t="n">
        <v>1947</v>
      </c>
      <c r="E23" s="9" t="n">
        <v>1362</v>
      </c>
      <c r="F23" s="9" t="n">
        <v>1533</v>
      </c>
      <c r="G23" s="9" t="n">
        <v>1846</v>
      </c>
      <c r="H23" s="9" t="n">
        <v>1609</v>
      </c>
      <c r="I23" s="9" t="n">
        <v>390</v>
      </c>
      <c r="J23" s="9" t="n">
        <v>167</v>
      </c>
      <c r="K23" s="9" t="n">
        <v>350</v>
      </c>
      <c r="L23" s="9" t="n">
        <v>510</v>
      </c>
      <c r="M23" s="9" t="n">
        <v>415</v>
      </c>
      <c r="N23" s="10" t="n">
        <v>0.210068365444375</v>
      </c>
      <c r="O23" s="10" t="n">
        <v>-0.0602409638554217</v>
      </c>
      <c r="P23" s="10" t="n">
        <v>0.429515418502203</v>
      </c>
      <c r="Q23" s="10" t="n">
        <v>-0.111545988258317</v>
      </c>
      <c r="R23" s="10" t="n">
        <v>-0.16955579631636</v>
      </c>
      <c r="S23" s="10" t="n">
        <v>0.147296457426973</v>
      </c>
      <c r="T23" s="11" t="s">
        <v>35</v>
      </c>
      <c r="U23" s="11" t="s">
        <v>107</v>
      </c>
      <c r="V23" s="8" t="s">
        <v>104</v>
      </c>
      <c r="W23" s="12" t="n">
        <v>606.8</v>
      </c>
      <c r="X23" s="12" t="n">
        <v>490.45</v>
      </c>
      <c r="Y23" s="10" t="n">
        <f aca="false">IF(AND(ISNUMBER(W23),ISNUMBER(X23)),X23/W23-1,"")</f>
        <v>-0.191743572841134</v>
      </c>
      <c r="Z23" s="10" t="n">
        <v>-0.187197330744945</v>
      </c>
      <c r="AA23" s="10" t="n">
        <v>0.0266439909297052</v>
      </c>
      <c r="AB23" s="11" t="s">
        <v>35</v>
      </c>
      <c r="AC23" s="10" t="n">
        <f aca="false">IF(AND(ISNUMBER(N23),ISNUMBER(AA23)),N23-AA23,"")</f>
        <v>0.18342437451467</v>
      </c>
    </row>
    <row r="24" customFormat="false" ht="15" hidden="false" customHeight="false" outlineLevel="0" collapsed="false">
      <c r="A24" s="8" t="s">
        <v>108</v>
      </c>
      <c r="B24" s="8" t="s">
        <v>109</v>
      </c>
      <c r="C24" s="8" t="s">
        <v>31</v>
      </c>
      <c r="D24" s="9" t="n">
        <v>1065.365</v>
      </c>
      <c r="E24" s="9" t="n">
        <v>751.054</v>
      </c>
      <c r="F24" s="9" t="n">
        <v>777.683</v>
      </c>
      <c r="G24" s="9" t="n">
        <v>519.048</v>
      </c>
      <c r="H24" s="9" t="n">
        <v>401.242</v>
      </c>
      <c r="I24" s="9" t="n">
        <v>182.237</v>
      </c>
      <c r="J24" s="9" t="n">
        <v>72.19</v>
      </c>
      <c r="K24" s="9" t="n">
        <v>87.529</v>
      </c>
      <c r="L24" s="9" t="n">
        <v>7.846</v>
      </c>
      <c r="M24" s="9" t="n">
        <v>-3.503</v>
      </c>
      <c r="N24" s="10" t="n">
        <v>1.65516820273052</v>
      </c>
      <c r="O24" s="13" t="s">
        <v>110</v>
      </c>
      <c r="P24" s="10" t="n">
        <v>0.418493210874318</v>
      </c>
      <c r="Q24" s="10" t="n">
        <v>-0.034241458280559</v>
      </c>
      <c r="R24" s="10" t="n">
        <v>0.498287248963487</v>
      </c>
      <c r="S24" s="10" t="n">
        <v>0.293603361562349</v>
      </c>
      <c r="T24" s="11" t="s">
        <v>35</v>
      </c>
      <c r="U24" s="11" t="s">
        <v>111</v>
      </c>
      <c r="V24" s="8" t="s">
        <v>47</v>
      </c>
      <c r="W24" s="12" t="n">
        <v>69.18</v>
      </c>
      <c r="X24" s="12" t="n">
        <v>275.19</v>
      </c>
      <c r="Y24" s="10" t="n">
        <f aca="false">IF(AND(ISNUMBER(W24),ISNUMBER(X24)),X24/W24-1,"")</f>
        <v>2.97788378143972</v>
      </c>
      <c r="Z24" s="10" t="n">
        <v>2.9778837991826</v>
      </c>
      <c r="AA24" s="10" t="n">
        <v>0.195001295541253</v>
      </c>
      <c r="AB24" s="11" t="s">
        <v>35</v>
      </c>
      <c r="AC24" s="10" t="n">
        <f aca="false">IF(AND(ISNUMBER(N24),ISNUMBER(AA24)),N24-AA24,"")</f>
        <v>1.46016690718927</v>
      </c>
    </row>
    <row r="25" customFormat="false" ht="15" hidden="false" customHeight="false" outlineLevel="0" collapsed="false">
      <c r="A25" s="8" t="s">
        <v>112</v>
      </c>
      <c r="B25" s="8" t="s">
        <v>113</v>
      </c>
      <c r="C25" s="8" t="s">
        <v>31</v>
      </c>
      <c r="D25" s="9" t="n">
        <v>67199</v>
      </c>
      <c r="E25" s="9" t="n">
        <v>47556</v>
      </c>
      <c r="F25" s="9" t="n">
        <v>45787</v>
      </c>
      <c r="G25" s="9" t="n">
        <v>48169</v>
      </c>
      <c r="H25" s="9" t="n">
        <v>44375</v>
      </c>
      <c r="I25" s="9" t="n">
        <v>14276</v>
      </c>
      <c r="J25" s="9" t="n">
        <v>3222</v>
      </c>
      <c r="K25" s="9" t="n">
        <v>4023</v>
      </c>
      <c r="L25" s="9" t="n">
        <v>4297</v>
      </c>
      <c r="M25" s="9" t="n">
        <v>4057</v>
      </c>
      <c r="N25" s="10" t="n">
        <v>0.514343661971831</v>
      </c>
      <c r="O25" s="10" t="n">
        <v>2.51885629775696</v>
      </c>
      <c r="P25" s="10" t="n">
        <v>0.413049878038523</v>
      </c>
      <c r="Q25" s="10" t="n">
        <v>0.0386354205342128</v>
      </c>
      <c r="R25" s="10" t="n">
        <v>-0.0494508916523075</v>
      </c>
      <c r="S25" s="10" t="n">
        <v>0.0854985915492958</v>
      </c>
      <c r="T25" s="11" t="s">
        <v>35</v>
      </c>
      <c r="U25" s="11" t="s">
        <v>114</v>
      </c>
      <c r="V25" s="8" t="s">
        <v>80</v>
      </c>
      <c r="W25" s="12" t="n">
        <v>159.18</v>
      </c>
      <c r="X25" s="12" t="n">
        <v>205.51</v>
      </c>
      <c r="Y25" s="10" t="n">
        <f aca="false">IF(AND(ISNUMBER(W25),ISNUMBER(X25)),X25/W25-1,"")</f>
        <v>0.291054152531725</v>
      </c>
      <c r="Z25" s="10" t="n">
        <v>0.341927835040248</v>
      </c>
      <c r="AA25" s="10" t="n">
        <v>-0.124245325413728</v>
      </c>
      <c r="AB25" s="8"/>
      <c r="AC25" s="10" t="n">
        <f aca="false">IF(AND(ISNUMBER(N25),ISNUMBER(AA25)),N25-AA25,"")</f>
        <v>0.638588987385559</v>
      </c>
    </row>
    <row r="26" customFormat="false" ht="15" hidden="false" customHeight="false" outlineLevel="0" collapsed="false">
      <c r="A26" s="8" t="s">
        <v>115</v>
      </c>
      <c r="B26" s="8" t="s">
        <v>116</v>
      </c>
      <c r="C26" s="8" t="s">
        <v>31</v>
      </c>
      <c r="D26" s="9" t="n">
        <v>4187.932</v>
      </c>
      <c r="E26" s="9" t="n">
        <v>3002.779</v>
      </c>
      <c r="F26" s="9" t="n">
        <v>3736.455</v>
      </c>
      <c r="G26" s="9" t="n">
        <v>2685.881</v>
      </c>
      <c r="H26" s="9" t="n">
        <v>3161.236</v>
      </c>
      <c r="I26" s="8"/>
      <c r="J26" s="8"/>
      <c r="K26" s="8"/>
      <c r="L26" s="8"/>
      <c r="M26" s="8"/>
      <c r="N26" s="10" t="n">
        <v>0.324776764531342</v>
      </c>
      <c r="O26" s="8"/>
      <c r="P26" s="10" t="n">
        <v>0.394685389767279</v>
      </c>
      <c r="Q26" s="10" t="n">
        <v>-0.196356171825969</v>
      </c>
      <c r="R26" s="10" t="n">
        <v>0.391146889977627</v>
      </c>
      <c r="S26" s="10" t="n">
        <v>-0.150369981867852</v>
      </c>
      <c r="T26" s="11" t="s">
        <v>35</v>
      </c>
      <c r="U26" s="11" t="s">
        <v>117</v>
      </c>
      <c r="V26" s="8" t="s">
        <v>51</v>
      </c>
      <c r="W26" s="12" t="n">
        <v>178.08</v>
      </c>
      <c r="X26" s="12" t="n">
        <v>119.27</v>
      </c>
      <c r="Y26" s="10" t="n">
        <f aca="false">IF(AND(ISNUMBER(W26),ISNUMBER(X26)),X26/W26-1,"")</f>
        <v>-0.33024483378257</v>
      </c>
      <c r="Z26" s="10" t="n">
        <v>-0.303076200599767</v>
      </c>
      <c r="AA26" s="10" t="n">
        <v>0.327394228468867</v>
      </c>
      <c r="AB26" s="11" t="s">
        <v>35</v>
      </c>
      <c r="AC26" s="10" t="n">
        <f aca="false">IF(AND(ISNUMBER(N26),ISNUMBER(AA26)),N26-AA26,"")</f>
        <v>-0.00261746393752577</v>
      </c>
    </row>
    <row r="27" customFormat="false" ht="15" hidden="false" customHeight="false" outlineLevel="0" collapsed="false">
      <c r="A27" s="8" t="s">
        <v>118</v>
      </c>
      <c r="B27" s="8" t="s">
        <v>119</v>
      </c>
      <c r="C27" s="8" t="s">
        <v>31</v>
      </c>
      <c r="D27" s="9" t="n">
        <v>114529</v>
      </c>
      <c r="E27" s="9" t="n">
        <v>83161</v>
      </c>
      <c r="F27" s="9" t="n">
        <v>80039</v>
      </c>
      <c r="G27" s="9" t="n">
        <v>83331</v>
      </c>
      <c r="H27" s="9" t="n">
        <v>79477</v>
      </c>
      <c r="I27" s="9" t="n">
        <v>18195</v>
      </c>
      <c r="J27" s="9" t="n">
        <v>5347</v>
      </c>
      <c r="K27" s="9" t="n">
        <v>6003</v>
      </c>
      <c r="L27" s="9" t="n">
        <v>9178</v>
      </c>
      <c r="M27" s="9" t="n">
        <v>8911</v>
      </c>
      <c r="N27" s="10" t="n">
        <v>0.441033254903934</v>
      </c>
      <c r="O27" s="10" t="n">
        <v>1.0418583772865</v>
      </c>
      <c r="P27" s="10" t="n">
        <v>0.377196041413644</v>
      </c>
      <c r="Q27" s="10" t="n">
        <v>0.0390059845825159</v>
      </c>
      <c r="R27" s="10" t="n">
        <v>-0.039505106142972</v>
      </c>
      <c r="S27" s="10" t="n">
        <v>0.0484920165582496</v>
      </c>
      <c r="T27" s="11" t="s">
        <v>35</v>
      </c>
      <c r="U27" s="11" t="s">
        <v>120</v>
      </c>
      <c r="V27" s="8" t="s">
        <v>80</v>
      </c>
      <c r="W27" s="12" t="n">
        <v>114.56</v>
      </c>
      <c r="X27" s="12" t="n">
        <v>161.23</v>
      </c>
      <c r="Y27" s="10" t="n">
        <f aca="false">IF(AND(ISNUMBER(W27),ISNUMBER(X27)),X27/W27-1,"")</f>
        <v>0.407384776536313</v>
      </c>
      <c r="Z27" s="10" t="n">
        <v>0.448174573637058</v>
      </c>
      <c r="AA27" s="10" t="n">
        <v>-0.124156458199011</v>
      </c>
      <c r="AB27" s="8"/>
      <c r="AC27" s="10" t="n">
        <f aca="false">IF(AND(ISNUMBER(N27),ISNUMBER(AA27)),N27-AA27,"")</f>
        <v>0.565189713102946</v>
      </c>
    </row>
    <row r="28" customFormat="false" ht="15" hidden="false" customHeight="false" outlineLevel="0" collapsed="false">
      <c r="A28" s="8" t="s">
        <v>121</v>
      </c>
      <c r="B28" s="8" t="s">
        <v>122</v>
      </c>
      <c r="C28" s="8" t="s">
        <v>31</v>
      </c>
      <c r="D28" s="9" t="n">
        <v>44476</v>
      </c>
      <c r="E28" s="9" t="n">
        <v>32381</v>
      </c>
      <c r="F28" s="9" t="n">
        <v>30372</v>
      </c>
      <c r="G28" s="9" t="n">
        <v>32168</v>
      </c>
      <c r="H28" s="9" t="n">
        <v>29889</v>
      </c>
      <c r="I28" s="9" t="n">
        <v>5196</v>
      </c>
      <c r="J28" s="9" t="n">
        <v>1731</v>
      </c>
      <c r="K28" s="9" t="n">
        <v>1575</v>
      </c>
      <c r="L28" s="9" t="n">
        <v>1509</v>
      </c>
      <c r="M28" s="9" t="n">
        <v>997</v>
      </c>
      <c r="N28" s="10" t="n">
        <v>0.488039077921644</v>
      </c>
      <c r="O28" s="10" t="n">
        <v>4.21163490471414</v>
      </c>
      <c r="P28" s="10" t="n">
        <v>0.373521509527192</v>
      </c>
      <c r="Q28" s="10" t="n">
        <v>0.0661464506782563</v>
      </c>
      <c r="R28" s="10" t="n">
        <v>-0.0558318826162646</v>
      </c>
      <c r="S28" s="10" t="n">
        <v>0.0762487871792299</v>
      </c>
      <c r="T28" s="11" t="s">
        <v>35</v>
      </c>
      <c r="U28" s="11" t="s">
        <v>123</v>
      </c>
      <c r="V28" s="8" t="s">
        <v>80</v>
      </c>
      <c r="W28" s="12" t="n">
        <v>170.83</v>
      </c>
      <c r="X28" s="12" t="n">
        <v>375.84</v>
      </c>
      <c r="Y28" s="10" t="n">
        <f aca="false">IF(AND(ISNUMBER(W28),ISNUMBER(X28)),X28/W28-1,"")</f>
        <v>1.20008195281859</v>
      </c>
      <c r="Z28" s="10" t="n">
        <v>1.24672781190901</v>
      </c>
      <c r="AA28" s="10" t="n">
        <v>-0.133400985792983</v>
      </c>
      <c r="AB28" s="8"/>
      <c r="AC28" s="10" t="n">
        <f aca="false">IF(AND(ISNUMBER(N28),ISNUMBER(AA28)),N28-AA28,"")</f>
        <v>0.621440063714627</v>
      </c>
    </row>
    <row r="29" customFormat="false" ht="15" hidden="false" customHeight="false" outlineLevel="0" collapsed="false">
      <c r="A29" s="8" t="s">
        <v>124</v>
      </c>
      <c r="B29" s="8" t="s">
        <v>125</v>
      </c>
      <c r="C29" s="8" t="s">
        <v>31</v>
      </c>
      <c r="D29" s="9" t="n">
        <v>1545.3</v>
      </c>
      <c r="E29" s="9" t="n">
        <v>1135.1</v>
      </c>
      <c r="F29" s="9" t="n">
        <v>1195</v>
      </c>
      <c r="G29" s="9" t="n">
        <v>1426.8</v>
      </c>
      <c r="H29" s="9" t="n">
        <v>1500.9</v>
      </c>
      <c r="I29" s="9" t="n">
        <v>356.4</v>
      </c>
      <c r="J29" s="9" t="n">
        <v>166.1</v>
      </c>
      <c r="K29" s="9" t="n">
        <v>239.6</v>
      </c>
      <c r="L29" s="9" t="n">
        <v>307</v>
      </c>
      <c r="M29" s="9" t="n">
        <v>344.2</v>
      </c>
      <c r="N29" s="10" t="n">
        <v>0.0295822506496102</v>
      </c>
      <c r="O29" s="10" t="n">
        <v>0.0354445090063917</v>
      </c>
      <c r="P29" s="10" t="n">
        <v>0.361377852171615</v>
      </c>
      <c r="Q29" s="10" t="n">
        <v>-0.0501255230125524</v>
      </c>
      <c r="R29" s="10" t="n">
        <v>-0.162461452200729</v>
      </c>
      <c r="S29" s="10" t="n">
        <v>-0.049370377773336</v>
      </c>
      <c r="T29" s="11" t="s">
        <v>35</v>
      </c>
      <c r="U29" s="11" t="s">
        <v>126</v>
      </c>
      <c r="V29" s="8" t="s">
        <v>47</v>
      </c>
      <c r="W29" s="12" t="n">
        <v>522.44</v>
      </c>
      <c r="X29" s="12" t="n">
        <v>372.34</v>
      </c>
      <c r="Y29" s="10" t="n">
        <f aca="false">IF(AND(ISNUMBER(W29),ISNUMBER(X29)),X29/W29-1,"")</f>
        <v>-0.287305719317051</v>
      </c>
      <c r="Z29" s="10" t="n">
        <v>-0.279811004677366</v>
      </c>
      <c r="AA29" s="10" t="n">
        <v>0.0343187926400661</v>
      </c>
      <c r="AB29" s="11" t="s">
        <v>35</v>
      </c>
      <c r="AC29" s="10" t="n">
        <f aca="false">IF(AND(ISNUMBER(N29),ISNUMBER(AA29)),N29-AA29,"")</f>
        <v>-0.00473654199045592</v>
      </c>
    </row>
    <row r="30" customFormat="false" ht="15" hidden="false" customHeight="false" outlineLevel="0" collapsed="false">
      <c r="A30" s="8" t="s">
        <v>127</v>
      </c>
      <c r="B30" s="8" t="s">
        <v>128</v>
      </c>
      <c r="C30" s="8" t="s">
        <v>31</v>
      </c>
      <c r="D30" s="9" t="n">
        <v>3608</v>
      </c>
      <c r="E30" s="9" t="n">
        <v>2678</v>
      </c>
      <c r="F30" s="9" t="n">
        <v>2778</v>
      </c>
      <c r="G30" s="9" t="n">
        <v>4095</v>
      </c>
      <c r="H30" s="9" t="n">
        <v>3096</v>
      </c>
      <c r="I30" s="9" t="n">
        <v>758</v>
      </c>
      <c r="J30" s="9" t="n">
        <v>86</v>
      </c>
      <c r="K30" s="9" t="n">
        <v>269</v>
      </c>
      <c r="L30" s="9" t="n">
        <v>1625</v>
      </c>
      <c r="M30" s="9" t="n">
        <v>612</v>
      </c>
      <c r="N30" s="10" t="n">
        <v>0.165374677002584</v>
      </c>
      <c r="O30" s="10" t="n">
        <v>0.238562091503268</v>
      </c>
      <c r="P30" s="10" t="n">
        <v>0.347274085138163</v>
      </c>
      <c r="Q30" s="10" t="n">
        <v>-0.0359971202303816</v>
      </c>
      <c r="R30" s="10" t="n">
        <v>-0.321611721611722</v>
      </c>
      <c r="S30" s="10" t="n">
        <v>0.322674418604651</v>
      </c>
      <c r="T30" s="11" t="s">
        <v>35</v>
      </c>
      <c r="U30" s="11" t="s">
        <v>129</v>
      </c>
      <c r="V30" s="8" t="s">
        <v>43</v>
      </c>
      <c r="W30" s="12" t="n">
        <v>123.08</v>
      </c>
      <c r="X30" s="12" t="n">
        <v>149.58</v>
      </c>
      <c r="Y30" s="10" t="n">
        <f aca="false">IF(AND(ISNUMBER(W30),ISNUMBER(X30)),X30/W30-1,"")</f>
        <v>0.215307117322067</v>
      </c>
      <c r="Z30" s="10" t="n">
        <v>0.215307114118954</v>
      </c>
      <c r="AA30" s="10" t="n">
        <v>0.126637554585153</v>
      </c>
      <c r="AB30" s="11" t="s">
        <v>35</v>
      </c>
      <c r="AC30" s="10" t="n">
        <f aca="false">IF(AND(ISNUMBER(N30),ISNUMBER(AA30)),N30-AA30,"")</f>
        <v>0.0387371224174311</v>
      </c>
    </row>
    <row r="31" customFormat="false" ht="15" hidden="false" customHeight="false" outlineLevel="0" collapsed="false">
      <c r="A31" s="8" t="s">
        <v>130</v>
      </c>
      <c r="B31" s="8" t="s">
        <v>131</v>
      </c>
      <c r="C31" s="8" t="s">
        <v>132</v>
      </c>
      <c r="D31" s="9" t="n">
        <v>4504.4</v>
      </c>
      <c r="E31" s="9" t="n">
        <v>3370.244</v>
      </c>
      <c r="F31" s="9" t="n">
        <v>3220.6</v>
      </c>
      <c r="G31" s="9" t="n">
        <v>2838.1</v>
      </c>
      <c r="H31" s="9" t="n">
        <v>4118.4</v>
      </c>
      <c r="I31" s="9" t="n">
        <v>1076.185</v>
      </c>
      <c r="J31" s="9" t="n">
        <v>710.512</v>
      </c>
      <c r="K31" s="9" t="n">
        <v>688.657</v>
      </c>
      <c r="L31" s="9" t="n">
        <v>663.081</v>
      </c>
      <c r="M31" s="9" t="n">
        <v>926.439</v>
      </c>
      <c r="N31" s="10" t="n">
        <v>0.0937257187257188</v>
      </c>
      <c r="O31" s="10" t="n">
        <v>0.161636114196402</v>
      </c>
      <c r="P31" s="10" t="n">
        <v>0.33652044184338</v>
      </c>
      <c r="Q31" s="10" t="n">
        <v>0.0464646339191455</v>
      </c>
      <c r="R31" s="10" t="n">
        <v>0.134773263803249</v>
      </c>
      <c r="S31" s="10" t="n">
        <v>-0.310873154623155</v>
      </c>
      <c r="T31" s="11" t="s">
        <v>35</v>
      </c>
      <c r="U31" s="11" t="s">
        <v>133</v>
      </c>
      <c r="V31" s="8" t="s">
        <v>134</v>
      </c>
      <c r="W31" s="12" t="n">
        <v>69.1</v>
      </c>
      <c r="X31" s="12" t="n">
        <v>64.91</v>
      </c>
      <c r="Y31" s="10" t="n">
        <f aca="false">IF(AND(ISNUMBER(W31),ISNUMBER(X31)),X31/W31-1,"")</f>
        <v>-0.0606367583212735</v>
      </c>
      <c r="Z31" s="10" t="n">
        <v>-0.0172270616478952</v>
      </c>
      <c r="AA31" s="10" t="n">
        <v>0.120206574089351</v>
      </c>
      <c r="AB31" s="8"/>
      <c r="AC31" s="10" t="n">
        <f aca="false">IF(AND(ISNUMBER(N31),ISNUMBER(AA31)),N31-AA31,"")</f>
        <v>-0.026480855363632</v>
      </c>
    </row>
    <row r="32" customFormat="false" ht="15" hidden="false" customHeight="false" outlineLevel="0" collapsed="false">
      <c r="A32" s="8" t="s">
        <v>135</v>
      </c>
      <c r="B32" s="8" t="s">
        <v>136</v>
      </c>
      <c r="C32" s="8" t="s">
        <v>38</v>
      </c>
      <c r="D32" s="9" t="n">
        <v>29591</v>
      </c>
      <c r="E32" s="9" t="n">
        <v>22187</v>
      </c>
      <c r="F32" s="9" t="n">
        <v>19311</v>
      </c>
      <c r="G32" s="9" t="n">
        <v>18015</v>
      </c>
      <c r="H32" s="9" t="n">
        <v>15952</v>
      </c>
      <c r="I32" s="9" t="n">
        <v>16058</v>
      </c>
      <c r="J32" s="9" t="n">
        <v>10859</v>
      </c>
      <c r="K32" s="9" t="n">
        <v>8666</v>
      </c>
      <c r="L32" s="9" t="n">
        <v>7654</v>
      </c>
      <c r="M32" s="9" t="n">
        <v>6074</v>
      </c>
      <c r="N32" s="10" t="n">
        <v>0.855002507522568</v>
      </c>
      <c r="O32" s="10" t="n">
        <v>1.64372736252881</v>
      </c>
      <c r="P32" s="10" t="n">
        <v>0.333708928651913</v>
      </c>
      <c r="Q32" s="10" t="n">
        <v>0.148930661281135</v>
      </c>
      <c r="R32" s="10" t="n">
        <v>0.071940049958368</v>
      </c>
      <c r="S32" s="10" t="n">
        <v>0.129325476429288</v>
      </c>
      <c r="T32" s="11" t="s">
        <v>35</v>
      </c>
      <c r="U32" s="11" t="s">
        <v>137</v>
      </c>
      <c r="V32" s="8" t="s">
        <v>34</v>
      </c>
      <c r="W32" s="12" t="n">
        <v>339.31</v>
      </c>
      <c r="X32" s="12" t="n">
        <v>354.99</v>
      </c>
      <c r="Y32" s="10" t="n">
        <f aca="false">IF(AND(ISNUMBER(W32),ISNUMBER(X32)),X32/W32-1,"")</f>
        <v>0.0462114290766555</v>
      </c>
      <c r="Z32" s="10" t="n">
        <v>0.0539902727788126</v>
      </c>
      <c r="AA32" s="10" t="n">
        <v>0.2203182374541</v>
      </c>
      <c r="AB32" s="8"/>
      <c r="AC32" s="10" t="n">
        <f aca="false">IF(AND(ISNUMBER(N32),ISNUMBER(AA32)),N32-AA32,"")</f>
        <v>0.634684270068467</v>
      </c>
    </row>
    <row r="33" customFormat="false" ht="15" hidden="false" customHeight="false" outlineLevel="0" collapsed="false">
      <c r="A33" s="8" t="s">
        <v>138</v>
      </c>
      <c r="B33" s="8" t="s">
        <v>139</v>
      </c>
      <c r="C33" s="8" t="s">
        <v>31</v>
      </c>
      <c r="D33" s="9" t="n">
        <v>5657.34</v>
      </c>
      <c r="E33" s="9" t="n">
        <v>4252.726</v>
      </c>
      <c r="F33" s="9" t="n">
        <v>5685.044</v>
      </c>
      <c r="G33" s="9" t="n">
        <v>5464.926</v>
      </c>
      <c r="H33" s="9" t="n">
        <v>5002.879</v>
      </c>
      <c r="I33" s="9" t="n">
        <v>325.714</v>
      </c>
      <c r="J33" s="9" t="n">
        <v>456.472</v>
      </c>
      <c r="K33" s="9" t="n">
        <v>356.903</v>
      </c>
      <c r="L33" s="9" t="n">
        <v>512.719</v>
      </c>
      <c r="M33" s="9" t="n">
        <v>327.265</v>
      </c>
      <c r="N33" s="10" t="n">
        <v>0.130816875643005</v>
      </c>
      <c r="O33" s="10" t="n">
        <v>-0.00473927856629952</v>
      </c>
      <c r="P33" s="10" t="n">
        <v>0.330285562719065</v>
      </c>
      <c r="Q33" s="10" t="n">
        <v>-0.251944927778923</v>
      </c>
      <c r="R33" s="10" t="n">
        <v>0.0402783130091788</v>
      </c>
      <c r="S33" s="10" t="n">
        <v>0.0923562212877824</v>
      </c>
      <c r="T33" s="11" t="s">
        <v>35</v>
      </c>
      <c r="U33" s="11" t="s">
        <v>140</v>
      </c>
      <c r="V33" s="8" t="s">
        <v>51</v>
      </c>
      <c r="W33" s="12" t="n">
        <v>137.94</v>
      </c>
      <c r="X33" s="12" t="n">
        <v>97.21</v>
      </c>
      <c r="Y33" s="10" t="n">
        <f aca="false">IF(AND(ISNUMBER(W33),ISNUMBER(X33)),X33/W33-1,"")</f>
        <v>-0.29527330723503</v>
      </c>
      <c r="Z33" s="10" t="n">
        <v>-0.290164731359727</v>
      </c>
      <c r="AA33" s="10" t="n">
        <v>0.219787339611832</v>
      </c>
      <c r="AB33" s="11" t="s">
        <v>35</v>
      </c>
      <c r="AC33" s="10" t="n">
        <f aca="false">IF(AND(ISNUMBER(N33),ISNUMBER(AA33)),N33-AA33,"")</f>
        <v>-0.0889704639688276</v>
      </c>
    </row>
    <row r="34" customFormat="false" ht="15" hidden="false" customHeight="false" outlineLevel="0" collapsed="false">
      <c r="A34" s="8" t="s">
        <v>141</v>
      </c>
      <c r="B34" s="8" t="s">
        <v>142</v>
      </c>
      <c r="C34" s="8" t="s">
        <v>31</v>
      </c>
      <c r="D34" s="9" t="n">
        <v>7352</v>
      </c>
      <c r="E34" s="9" t="n">
        <v>5532</v>
      </c>
      <c r="F34" s="9" t="n">
        <v>6349</v>
      </c>
      <c r="G34" s="9" t="n">
        <v>9008</v>
      </c>
      <c r="H34" s="9" t="n">
        <v>6798</v>
      </c>
      <c r="I34" s="9" t="n">
        <v>2500</v>
      </c>
      <c r="J34" s="9" t="n">
        <v>1271</v>
      </c>
      <c r="K34" s="9" t="n">
        <v>2030</v>
      </c>
      <c r="L34" s="9" t="n">
        <v>3940</v>
      </c>
      <c r="M34" s="9" t="n">
        <v>2250</v>
      </c>
      <c r="N34" s="10" t="n">
        <v>0.0814945572227126</v>
      </c>
      <c r="O34" s="10" t="n">
        <v>0.111111111111111</v>
      </c>
      <c r="P34" s="10" t="n">
        <v>0.328994938539407</v>
      </c>
      <c r="Q34" s="10" t="n">
        <v>-0.12868168215467</v>
      </c>
      <c r="R34" s="10" t="n">
        <v>-0.295182060390764</v>
      </c>
      <c r="S34" s="10" t="n">
        <v>0.325095616357752</v>
      </c>
      <c r="T34" s="11" t="s">
        <v>35</v>
      </c>
      <c r="U34" s="11" t="s">
        <v>143</v>
      </c>
      <c r="V34" s="8" t="s">
        <v>43</v>
      </c>
      <c r="W34" s="12" t="n">
        <v>221.024</v>
      </c>
      <c r="X34" s="12" t="n">
        <v>155.9</v>
      </c>
      <c r="Y34" s="10" t="n">
        <f aca="false">IF(AND(ISNUMBER(W34),ISNUMBER(X34)),X34/W34-1,"")</f>
        <v>-0.294646735196178</v>
      </c>
      <c r="Z34" s="10" t="n">
        <v>-0.28818947909051</v>
      </c>
      <c r="AA34" s="10" t="n">
        <v>0.160266257040451</v>
      </c>
      <c r="AB34" s="11" t="s">
        <v>35</v>
      </c>
      <c r="AC34" s="10" t="n">
        <f aca="false">IF(AND(ISNUMBER(N34),ISNUMBER(AA34)),N34-AA34,"")</f>
        <v>-0.0787716998177379</v>
      </c>
    </row>
    <row r="35" customFormat="false" ht="15" hidden="false" customHeight="false" outlineLevel="0" collapsed="false">
      <c r="A35" s="8" t="s">
        <v>144</v>
      </c>
      <c r="B35" s="8" t="s">
        <v>145</v>
      </c>
      <c r="C35" s="8" t="s">
        <v>31</v>
      </c>
      <c r="D35" s="9" t="n">
        <v>1674.039</v>
      </c>
      <c r="E35" s="9" t="n">
        <v>1272.676</v>
      </c>
      <c r="F35" s="9" t="n">
        <v>1506.835</v>
      </c>
      <c r="G35" s="9" t="n">
        <v>1365.98</v>
      </c>
      <c r="H35" s="9" t="n">
        <v>1215.529</v>
      </c>
      <c r="I35" s="9" t="n">
        <v>700.389</v>
      </c>
      <c r="J35" s="9" t="n">
        <v>324.173</v>
      </c>
      <c r="K35" s="9" t="n">
        <v>383.963</v>
      </c>
      <c r="L35" s="9" t="n">
        <v>431.296</v>
      </c>
      <c r="M35" s="9" t="n">
        <v>310.812</v>
      </c>
      <c r="N35" s="10" t="n">
        <v>0.377210251668204</v>
      </c>
      <c r="O35" s="10" t="n">
        <v>1.25341685649203</v>
      </c>
      <c r="P35" s="10" t="n">
        <v>0.31536934773658</v>
      </c>
      <c r="Q35" s="10" t="n">
        <v>-0.155397903552811</v>
      </c>
      <c r="R35" s="10" t="n">
        <v>0.103116443871799</v>
      </c>
      <c r="S35" s="10" t="n">
        <v>0.123774093419408</v>
      </c>
      <c r="T35" s="11" t="s">
        <v>35</v>
      </c>
      <c r="U35" s="11" t="s">
        <v>146</v>
      </c>
      <c r="V35" s="8" t="s">
        <v>147</v>
      </c>
      <c r="W35" s="12" t="n">
        <v>84.16</v>
      </c>
      <c r="X35" s="12" t="n">
        <v>124.64</v>
      </c>
      <c r="Y35" s="10" t="n">
        <f aca="false">IF(AND(ISNUMBER(W35),ISNUMBER(X35)),X35/W35-1,"")</f>
        <v>0.480988593155894</v>
      </c>
      <c r="Z35" s="10" t="n">
        <v>0.480988521460391</v>
      </c>
      <c r="AA35" s="10" t="n">
        <v>0.164568640845253</v>
      </c>
      <c r="AB35" s="11" t="s">
        <v>35</v>
      </c>
      <c r="AC35" s="10" t="n">
        <f aca="false">IF(AND(ISNUMBER(N35),ISNUMBER(AA35)),N35-AA35,"")</f>
        <v>0.212641610822951</v>
      </c>
    </row>
    <row r="36" customFormat="false" ht="15" hidden="false" customHeight="false" outlineLevel="0" collapsed="false">
      <c r="A36" s="8" t="s">
        <v>148</v>
      </c>
      <c r="B36" s="8" t="s">
        <v>149</v>
      </c>
      <c r="C36" s="8" t="s">
        <v>31</v>
      </c>
      <c r="D36" s="9" t="n">
        <v>5525</v>
      </c>
      <c r="E36" s="9" t="n">
        <v>4210</v>
      </c>
      <c r="F36" s="9" t="n">
        <v>3341</v>
      </c>
      <c r="G36" s="9" t="n">
        <v>3906</v>
      </c>
      <c r="H36" s="9" t="n">
        <v>3651</v>
      </c>
      <c r="I36" s="9" t="n">
        <v>2512</v>
      </c>
      <c r="J36" s="9" t="n">
        <v>1516</v>
      </c>
      <c r="K36" s="9" t="n">
        <v>776</v>
      </c>
      <c r="L36" s="9" t="n">
        <v>1253</v>
      </c>
      <c r="M36" s="9" t="n">
        <v>1139</v>
      </c>
      <c r="N36" s="10" t="n">
        <v>0.513284031772117</v>
      </c>
      <c r="O36" s="10" t="n">
        <v>1.2054433713784</v>
      </c>
      <c r="P36" s="10" t="n">
        <v>0.312351543942993</v>
      </c>
      <c r="Q36" s="10" t="n">
        <v>0.260101765938342</v>
      </c>
      <c r="R36" s="10" t="n">
        <v>-0.144649257552483</v>
      </c>
      <c r="S36" s="10" t="n">
        <v>0.0698438783894824</v>
      </c>
      <c r="T36" s="11" t="s">
        <v>35</v>
      </c>
      <c r="U36" s="11" t="s">
        <v>150</v>
      </c>
      <c r="V36" s="8" t="s">
        <v>80</v>
      </c>
      <c r="W36" s="12" t="n">
        <v>144.61</v>
      </c>
      <c r="X36" s="12" t="n">
        <v>185.65</v>
      </c>
      <c r="Y36" s="10" t="n">
        <f aca="false">IF(AND(ISNUMBER(W36),ISNUMBER(X36)),X36/W36-1,"")</f>
        <v>0.283797800981951</v>
      </c>
      <c r="Z36" s="10" t="n">
        <v>0.314720559863604</v>
      </c>
      <c r="AA36" s="10" t="n">
        <v>0.481272654047523</v>
      </c>
      <c r="AB36" s="8"/>
      <c r="AC36" s="10" t="n">
        <f aca="false">IF(AND(ISNUMBER(N36),ISNUMBER(AA36)),N36-AA36,"")</f>
        <v>0.0320113777245941</v>
      </c>
    </row>
    <row r="37" customFormat="false" ht="15" hidden="false" customHeight="false" outlineLevel="0" collapsed="false">
      <c r="A37" s="8" t="s">
        <v>151</v>
      </c>
      <c r="B37" s="8" t="s">
        <v>152</v>
      </c>
      <c r="C37" s="8" t="s">
        <v>31</v>
      </c>
      <c r="D37" s="9" t="n">
        <v>1645</v>
      </c>
      <c r="E37" s="9" t="n">
        <v>1267</v>
      </c>
      <c r="F37" s="9" t="n">
        <v>932.362</v>
      </c>
      <c r="G37" s="9" t="n">
        <v>799.887</v>
      </c>
      <c r="H37" s="9" t="n">
        <v>771</v>
      </c>
      <c r="I37" s="9" t="n">
        <v>-37</v>
      </c>
      <c r="J37" s="9" t="n">
        <v>-47</v>
      </c>
      <c r="K37" s="9" t="n">
        <v>270.516</v>
      </c>
      <c r="L37" s="9" t="n">
        <v>192.114</v>
      </c>
      <c r="M37" s="9" t="n">
        <v>191</v>
      </c>
      <c r="N37" s="10" t="n">
        <v>1.13359273670558</v>
      </c>
      <c r="O37" s="13" t="s">
        <v>153</v>
      </c>
      <c r="P37" s="10" t="n">
        <v>0.298342541436464</v>
      </c>
      <c r="Q37" s="10" t="n">
        <v>0.358914241464152</v>
      </c>
      <c r="R37" s="10" t="n">
        <v>0.165617143421508</v>
      </c>
      <c r="S37" s="10" t="n">
        <v>0.0374669260700389</v>
      </c>
      <c r="T37" s="11" t="s">
        <v>35</v>
      </c>
      <c r="U37" s="11" t="s">
        <v>154</v>
      </c>
      <c r="V37" s="8" t="s">
        <v>147</v>
      </c>
      <c r="W37" s="12" t="n">
        <v>292.65</v>
      </c>
      <c r="X37" s="12" t="n">
        <v>420.57</v>
      </c>
      <c r="Y37" s="10" t="n">
        <f aca="false">IF(AND(ISNUMBER(W37),ISNUMBER(X37)),X37/W37-1,"")</f>
        <v>0.437109174782163</v>
      </c>
      <c r="Z37" s="10" t="n">
        <v>0.437109229781778</v>
      </c>
      <c r="AA37" s="10" t="n">
        <v>0.0419111042070497</v>
      </c>
      <c r="AB37" s="11" t="s">
        <v>35</v>
      </c>
      <c r="AC37" s="10" t="n">
        <f aca="false">IF(AND(ISNUMBER(N37),ISNUMBER(AA37)),N37-AA37,"")</f>
        <v>1.09168163249853</v>
      </c>
    </row>
    <row r="38" customFormat="false" ht="15" hidden="false" customHeight="false" outlineLevel="0" collapsed="false">
      <c r="A38" s="8" t="s">
        <v>155</v>
      </c>
      <c r="B38" s="8" t="s">
        <v>156</v>
      </c>
      <c r="C38" s="8" t="s">
        <v>31</v>
      </c>
      <c r="D38" s="9" t="n">
        <v>117885</v>
      </c>
      <c r="E38" s="9" t="n">
        <v>92070</v>
      </c>
      <c r="F38" s="9" t="n">
        <v>111442</v>
      </c>
      <c r="G38" s="9" t="n">
        <v>98879</v>
      </c>
      <c r="H38" s="9" t="n">
        <v>83290</v>
      </c>
      <c r="I38" s="8"/>
      <c r="J38" s="8"/>
      <c r="K38" s="8"/>
      <c r="L38" s="8"/>
      <c r="M38" s="8"/>
      <c r="N38" s="10" t="n">
        <v>0.415355985112258</v>
      </c>
      <c r="O38" s="8"/>
      <c r="P38" s="10" t="n">
        <v>0.28038449006191</v>
      </c>
      <c r="Q38" s="10" t="n">
        <v>-0.173830333267529</v>
      </c>
      <c r="R38" s="10" t="n">
        <v>0.127054278461554</v>
      </c>
      <c r="S38" s="10" t="n">
        <v>0.187165325969504</v>
      </c>
      <c r="T38" s="11" t="s">
        <v>35</v>
      </c>
      <c r="U38" s="11" t="s">
        <v>157</v>
      </c>
      <c r="V38" s="8" t="s">
        <v>51</v>
      </c>
      <c r="W38" s="12" t="n">
        <v>497.09</v>
      </c>
      <c r="X38" s="12" t="n">
        <v>507.17</v>
      </c>
      <c r="Y38" s="10" t="n">
        <f aca="false">IF(AND(ISNUMBER(W38),ISNUMBER(X38)),X38/W38-1,"")</f>
        <v>0.0202780180651392</v>
      </c>
      <c r="Z38" s="10" t="n">
        <v>0.0202780525943074</v>
      </c>
      <c r="AA38" s="10" t="n">
        <v>-0.0121512391487726</v>
      </c>
      <c r="AB38" s="8"/>
      <c r="AC38" s="10" t="n">
        <f aca="false">IF(AND(ISNUMBER(N38),ISNUMBER(AA38)),N38-AA38,"")</f>
        <v>0.427507224261031</v>
      </c>
    </row>
    <row r="39" customFormat="false" ht="15" hidden="false" customHeight="false" outlineLevel="0" collapsed="false">
      <c r="A39" s="8" t="s">
        <v>158</v>
      </c>
      <c r="B39" s="8" t="s">
        <v>159</v>
      </c>
      <c r="C39" s="8" t="s">
        <v>31</v>
      </c>
      <c r="D39" s="9" t="n">
        <v>6353.5</v>
      </c>
      <c r="E39" s="9" t="n">
        <v>4969.4</v>
      </c>
      <c r="F39" s="9" t="n">
        <v>5144.5</v>
      </c>
      <c r="G39" s="9" t="n">
        <v>5742.5</v>
      </c>
      <c r="H39" s="9" t="n">
        <v>5746.4</v>
      </c>
      <c r="I39" s="9" t="n">
        <v>1224.3</v>
      </c>
      <c r="J39" s="9" t="n">
        <v>776.1</v>
      </c>
      <c r="K39" s="9" t="n">
        <v>819</v>
      </c>
      <c r="L39" s="9" t="n">
        <v>1165.3</v>
      </c>
      <c r="M39" s="9" t="n">
        <v>1164.2</v>
      </c>
      <c r="N39" s="10" t="n">
        <v>0.105648754002506</v>
      </c>
      <c r="O39" s="10" t="n">
        <v>0.0516234323999314</v>
      </c>
      <c r="P39" s="10" t="n">
        <v>0.278524570370669</v>
      </c>
      <c r="Q39" s="10" t="n">
        <v>-0.0340363494994654</v>
      </c>
      <c r="R39" s="10" t="n">
        <v>-0.104135829342621</v>
      </c>
      <c r="S39" s="10" t="n">
        <v>-0.000678685785883371</v>
      </c>
      <c r="T39" s="11" t="s">
        <v>35</v>
      </c>
      <c r="U39" s="11" t="s">
        <v>160</v>
      </c>
      <c r="V39" s="8" t="s">
        <v>47</v>
      </c>
      <c r="W39" s="12" t="n">
        <v>404.09</v>
      </c>
      <c r="X39" s="12" t="n">
        <v>437.09</v>
      </c>
      <c r="Y39" s="10" t="n">
        <f aca="false">IF(AND(ISNUMBER(W39),ISNUMBER(X39)),X39/W39-1,"")</f>
        <v>0.081664975624242</v>
      </c>
      <c r="Z39" s="10" t="n">
        <v>0.0893036306863331</v>
      </c>
      <c r="AA39" s="10" t="n">
        <v>0.0827147002298678</v>
      </c>
      <c r="AB39" s="11" t="s">
        <v>35</v>
      </c>
      <c r="AC39" s="10" t="n">
        <f aca="false">IF(AND(ISNUMBER(N39),ISNUMBER(AA39)),N39-AA39,"")</f>
        <v>0.0229340537726382</v>
      </c>
    </row>
    <row r="40" customFormat="false" ht="15" hidden="false" customHeight="false" outlineLevel="0" collapsed="false">
      <c r="A40" s="8" t="s">
        <v>161</v>
      </c>
      <c r="B40" s="8" t="s">
        <v>162</v>
      </c>
      <c r="C40" s="8" t="s">
        <v>31</v>
      </c>
      <c r="D40" s="9" t="n">
        <v>9177</v>
      </c>
      <c r="E40" s="9" t="n">
        <v>7197</v>
      </c>
      <c r="F40" s="9" t="n">
        <v>7091</v>
      </c>
      <c r="G40" s="9" t="n">
        <v>7727</v>
      </c>
      <c r="H40" s="9" t="n">
        <v>7658</v>
      </c>
      <c r="I40" s="9" t="n">
        <v>1617</v>
      </c>
      <c r="J40" s="9" t="n">
        <v>254</v>
      </c>
      <c r="K40" s="9" t="n">
        <v>-71</v>
      </c>
      <c r="L40" s="9" t="n">
        <v>471</v>
      </c>
      <c r="M40" s="9" t="n">
        <v>317</v>
      </c>
      <c r="N40" s="10" t="n">
        <v>0.198354661791591</v>
      </c>
      <c r="O40" s="10" t="n">
        <v>4.10094637223975</v>
      </c>
      <c r="P40" s="10" t="n">
        <v>0.27511463109629</v>
      </c>
      <c r="Q40" s="10" t="n">
        <v>0.0149485263009448</v>
      </c>
      <c r="R40" s="10" t="n">
        <v>-0.082308787368966</v>
      </c>
      <c r="S40" s="10" t="n">
        <v>0.00901018542700438</v>
      </c>
      <c r="T40" s="11" t="s">
        <v>35</v>
      </c>
      <c r="U40" s="11" t="s">
        <v>163</v>
      </c>
      <c r="V40" s="8" t="s">
        <v>104</v>
      </c>
      <c r="W40" s="12" t="n">
        <v>51.37</v>
      </c>
      <c r="X40" s="12" t="n">
        <v>59.97</v>
      </c>
      <c r="Y40" s="10" t="n">
        <f aca="false">IF(AND(ISNUMBER(W40),ISNUMBER(X40)),X40/W40-1,"")</f>
        <v>0.167412886898968</v>
      </c>
      <c r="Z40" s="10" t="n">
        <v>0.240976701496763</v>
      </c>
      <c r="AA40" s="10" t="n">
        <v>-0.117538603364831</v>
      </c>
      <c r="AB40" s="8"/>
      <c r="AC40" s="10" t="n">
        <f aca="false">IF(AND(ISNUMBER(N40),ISNUMBER(AA40)),N40-AA40,"")</f>
        <v>0.315893265156421</v>
      </c>
    </row>
    <row r="41" customFormat="false" ht="15" hidden="false" customHeight="false" outlineLevel="0" collapsed="false">
      <c r="A41" s="8" t="s">
        <v>164</v>
      </c>
      <c r="B41" s="8" t="s">
        <v>165</v>
      </c>
      <c r="C41" s="8" t="s">
        <v>65</v>
      </c>
      <c r="D41" s="9" t="n">
        <v>2432.7</v>
      </c>
      <c r="E41" s="9" t="n">
        <v>1920.2</v>
      </c>
      <c r="F41" s="9" t="n">
        <v>2222.8</v>
      </c>
      <c r="G41" s="9" t="n">
        <v>2481</v>
      </c>
      <c r="H41" s="9" t="n">
        <v>2515</v>
      </c>
      <c r="I41" s="9" t="n">
        <v>863.6</v>
      </c>
      <c r="J41" s="9" t="n">
        <v>531.2</v>
      </c>
      <c r="K41" s="9" t="n">
        <v>692</v>
      </c>
      <c r="L41" s="9" t="n">
        <v>874</v>
      </c>
      <c r="M41" s="9" t="n">
        <v>765.9</v>
      </c>
      <c r="N41" s="10" t="n">
        <v>-0.0327236580516899</v>
      </c>
      <c r="O41" s="10" t="n">
        <v>0.127562344953649</v>
      </c>
      <c r="P41" s="10" t="n">
        <v>0.266899281324862</v>
      </c>
      <c r="Q41" s="10" t="n">
        <v>-0.136134605002699</v>
      </c>
      <c r="R41" s="10" t="n">
        <v>-0.104070939137445</v>
      </c>
      <c r="S41" s="10" t="n">
        <v>-0.0135188866799205</v>
      </c>
      <c r="T41" s="11" t="s">
        <v>35</v>
      </c>
      <c r="U41" s="11" t="s">
        <v>166</v>
      </c>
      <c r="V41" s="8" t="s">
        <v>84</v>
      </c>
      <c r="W41" s="12" t="n">
        <v>133.39</v>
      </c>
      <c r="X41" s="12" t="n">
        <v>116.57</v>
      </c>
      <c r="Y41" s="10" t="n">
        <f aca="false">IF(AND(ISNUMBER(W41),ISNUMBER(X41)),X41/W41-1,"")</f>
        <v>-0.126096409026164</v>
      </c>
      <c r="Z41" s="10" t="n">
        <v>-0.100558170846973</v>
      </c>
      <c r="AA41" s="10" t="n">
        <v>-0.0551506499361334</v>
      </c>
      <c r="AB41" s="11" t="s">
        <v>35</v>
      </c>
      <c r="AC41" s="10" t="n">
        <f aca="false">IF(AND(ISNUMBER(N41),ISNUMBER(AA41)),N41-AA41,"")</f>
        <v>0.0224269918844435</v>
      </c>
    </row>
    <row r="42" customFormat="false" ht="15" hidden="false" customHeight="false" outlineLevel="0" collapsed="false">
      <c r="A42" s="8" t="s">
        <v>167</v>
      </c>
      <c r="B42" s="8" t="s">
        <v>168</v>
      </c>
      <c r="C42" s="8" t="s">
        <v>31</v>
      </c>
      <c r="D42" s="9" t="n">
        <v>1455.749</v>
      </c>
      <c r="E42" s="9" t="n">
        <v>1149.597</v>
      </c>
      <c r="F42" s="9" t="n">
        <v>1128.167</v>
      </c>
      <c r="G42" s="9" t="n">
        <v>1820.741</v>
      </c>
      <c r="H42" s="9" t="n">
        <v>1358.751</v>
      </c>
      <c r="I42" s="9" t="n">
        <v>305.672</v>
      </c>
      <c r="J42" s="9" t="n">
        <v>131.174</v>
      </c>
      <c r="K42" s="9" t="n">
        <v>121.01</v>
      </c>
      <c r="L42" s="9" t="n">
        <v>581.846</v>
      </c>
      <c r="M42" s="9" t="n">
        <v>307.552</v>
      </c>
      <c r="N42" s="10" t="n">
        <v>0.0713876199539136</v>
      </c>
      <c r="O42" s="10" t="n">
        <v>-0.00611278743106858</v>
      </c>
      <c r="P42" s="10" t="n">
        <v>0.266312455582261</v>
      </c>
      <c r="Q42" s="10" t="n">
        <v>0.0189954146859463</v>
      </c>
      <c r="R42" s="10" t="n">
        <v>-0.380380295714767</v>
      </c>
      <c r="S42" s="10" t="n">
        <v>0.340010789320486</v>
      </c>
      <c r="T42" s="11" t="s">
        <v>35</v>
      </c>
      <c r="U42" s="11" t="s">
        <v>169</v>
      </c>
      <c r="V42" s="8" t="s">
        <v>134</v>
      </c>
      <c r="W42" s="12" t="n">
        <v>87.14</v>
      </c>
      <c r="X42" s="12" t="n">
        <v>92.05</v>
      </c>
      <c r="Y42" s="10" t="n">
        <f aca="false">IF(AND(ISNUMBER(W42),ISNUMBER(X42)),X42/W42-1,"")</f>
        <v>0.0563461097085149</v>
      </c>
      <c r="Z42" s="10" t="n">
        <v>0.0972452321010022</v>
      </c>
      <c r="AA42" s="10" t="n">
        <v>0.038011633361192</v>
      </c>
      <c r="AB42" s="11" t="s">
        <v>35</v>
      </c>
      <c r="AC42" s="10" t="n">
        <f aca="false">IF(AND(ISNUMBER(N42),ISNUMBER(AA42)),N42-AA42,"")</f>
        <v>0.0333759865927217</v>
      </c>
    </row>
    <row r="43" customFormat="false" ht="15" hidden="false" customHeight="false" outlineLevel="0" collapsed="false">
      <c r="A43" s="8" t="s">
        <v>170</v>
      </c>
      <c r="B43" s="8" t="s">
        <v>171</v>
      </c>
      <c r="C43" s="8" t="s">
        <v>31</v>
      </c>
      <c r="D43" s="9" t="n">
        <v>4541.314</v>
      </c>
      <c r="E43" s="9" t="n">
        <v>3592.046</v>
      </c>
      <c r="F43" s="9" t="n">
        <v>3898.32</v>
      </c>
      <c r="G43" s="9" t="n">
        <v>3719.044</v>
      </c>
      <c r="H43" s="9" t="n">
        <v>4439.729</v>
      </c>
      <c r="I43" s="9" t="n">
        <v>529.862</v>
      </c>
      <c r="J43" s="9" t="n">
        <v>233.431</v>
      </c>
      <c r="K43" s="9" t="n">
        <v>297.731</v>
      </c>
      <c r="L43" s="9" t="n">
        <v>342.709</v>
      </c>
      <c r="M43" s="9" t="n">
        <v>577.812</v>
      </c>
      <c r="N43" s="10" t="n">
        <v>0.0228809010640063</v>
      </c>
      <c r="O43" s="10" t="n">
        <v>-0.0829854693222016</v>
      </c>
      <c r="P43" s="10" t="n">
        <v>0.264269444210904</v>
      </c>
      <c r="Q43" s="10" t="n">
        <v>-0.0785656385314699</v>
      </c>
      <c r="R43" s="10" t="n">
        <v>0.0482048612492887</v>
      </c>
      <c r="S43" s="10" t="n">
        <v>-0.162326349198341</v>
      </c>
      <c r="T43" s="11" t="s">
        <v>35</v>
      </c>
      <c r="U43" s="11" t="s">
        <v>172</v>
      </c>
      <c r="V43" s="8" t="s">
        <v>43</v>
      </c>
      <c r="W43" s="12" t="n">
        <v>57.35</v>
      </c>
      <c r="X43" s="12" t="n">
        <v>32.29</v>
      </c>
      <c r="Y43" s="10" t="n">
        <f aca="false">IF(AND(ISNUMBER(W43),ISNUMBER(X43)),X43/W43-1,"")</f>
        <v>-0.436965998256321</v>
      </c>
      <c r="Z43" s="10" t="n">
        <v>-0.423410711842</v>
      </c>
      <c r="AA43" s="10" t="n">
        <v>0.0454730842537905</v>
      </c>
      <c r="AB43" s="11" t="s">
        <v>35</v>
      </c>
      <c r="AC43" s="10" t="n">
        <f aca="false">IF(AND(ISNUMBER(N43),ISNUMBER(AA43)),N43-AA43,"")</f>
        <v>-0.0225921831897842</v>
      </c>
    </row>
    <row r="44" customFormat="false" ht="15" hidden="false" customHeight="false" outlineLevel="0" collapsed="false">
      <c r="A44" s="8" t="s">
        <v>173</v>
      </c>
      <c r="B44" s="8" t="s">
        <v>174</v>
      </c>
      <c r="C44" s="8" t="s">
        <v>31</v>
      </c>
      <c r="D44" s="9" t="n">
        <v>28236</v>
      </c>
      <c r="E44" s="9" t="n">
        <v>22387</v>
      </c>
      <c r="F44" s="9" t="n">
        <v>24901</v>
      </c>
      <c r="G44" s="9" t="n">
        <v>28095</v>
      </c>
      <c r="H44" s="9" t="n">
        <v>22496</v>
      </c>
      <c r="I44" s="9" t="n">
        <v>398</v>
      </c>
      <c r="J44" s="9" t="n">
        <v>941</v>
      </c>
      <c r="K44" s="9" t="n">
        <v>1571</v>
      </c>
      <c r="L44" s="9" t="n">
        <v>1862</v>
      </c>
      <c r="M44" s="9" t="n">
        <v>923</v>
      </c>
      <c r="N44" s="10" t="n">
        <v>0.255156472261735</v>
      </c>
      <c r="O44" s="10" t="n">
        <v>-0.568797399783315</v>
      </c>
      <c r="P44" s="10" t="n">
        <v>0.261267700004467</v>
      </c>
      <c r="Q44" s="10" t="n">
        <v>-0.100959800811212</v>
      </c>
      <c r="R44" s="10" t="n">
        <v>-0.113685709200926</v>
      </c>
      <c r="S44" s="10" t="n">
        <v>0.248888691322902</v>
      </c>
      <c r="T44" s="11" t="s">
        <v>35</v>
      </c>
      <c r="U44" s="11" t="s">
        <v>175</v>
      </c>
      <c r="V44" s="8" t="s">
        <v>43</v>
      </c>
      <c r="W44" s="12" t="n">
        <v>442.79</v>
      </c>
      <c r="X44" s="12" t="n">
        <v>380.12</v>
      </c>
      <c r="Y44" s="10" t="n">
        <f aca="false">IF(AND(ISNUMBER(W44),ISNUMBER(X44)),X44/W44-1,"")</f>
        <v>-0.141534361661284</v>
      </c>
      <c r="Z44" s="10" t="n">
        <v>-0.141534389255254</v>
      </c>
      <c r="AA44" s="10" t="n">
        <v>-0.117803921568627</v>
      </c>
      <c r="AB44" s="11" t="s">
        <v>35</v>
      </c>
      <c r="AC44" s="10" t="n">
        <f aca="false">IF(AND(ISNUMBER(N44),ISNUMBER(AA44)),N44-AA44,"")</f>
        <v>0.372960393830363</v>
      </c>
    </row>
    <row r="45" customFormat="false" ht="15" hidden="false" customHeight="false" outlineLevel="0" collapsed="false">
      <c r="A45" s="8" t="s">
        <v>176</v>
      </c>
      <c r="B45" s="8" t="s">
        <v>177</v>
      </c>
      <c r="C45" s="8" t="s">
        <v>31</v>
      </c>
      <c r="D45" s="9" t="n">
        <v>4315</v>
      </c>
      <c r="E45" s="9" t="n">
        <v>3426</v>
      </c>
      <c r="F45" s="9" t="n">
        <v>3547</v>
      </c>
      <c r="G45" s="9" t="n">
        <v>4412</v>
      </c>
      <c r="H45" s="9" t="n">
        <v>3786</v>
      </c>
      <c r="I45" s="9" t="n">
        <v>819</v>
      </c>
      <c r="J45" s="9" t="n">
        <v>243</v>
      </c>
      <c r="K45" s="9" t="n">
        <v>548</v>
      </c>
      <c r="L45" s="9" t="n">
        <v>1128</v>
      </c>
      <c r="M45" s="9" t="n">
        <v>531</v>
      </c>
      <c r="N45" s="10" t="n">
        <v>0.13972530375066</v>
      </c>
      <c r="O45" s="10" t="n">
        <v>0.542372881355932</v>
      </c>
      <c r="P45" s="10" t="n">
        <v>0.2594862813777</v>
      </c>
      <c r="Q45" s="10" t="n">
        <v>-0.034113335212856</v>
      </c>
      <c r="R45" s="10" t="n">
        <v>-0.196056210335449</v>
      </c>
      <c r="S45" s="10" t="n">
        <v>0.165346011621764</v>
      </c>
      <c r="T45" s="11" t="s">
        <v>35</v>
      </c>
      <c r="U45" s="11" t="s">
        <v>178</v>
      </c>
      <c r="V45" s="8" t="s">
        <v>43</v>
      </c>
      <c r="W45" s="12" t="n">
        <v>217.83</v>
      </c>
      <c r="X45" s="12" t="n">
        <v>259.04</v>
      </c>
      <c r="Y45" s="10" t="n">
        <f aca="false">IF(AND(ISNUMBER(W45),ISNUMBER(X45)),X45/W45-1,"")</f>
        <v>0.189184226231465</v>
      </c>
      <c r="Z45" s="10" t="n">
        <v>0.198012858258253</v>
      </c>
      <c r="AA45" s="10" t="n">
        <v>0.0640809443507588</v>
      </c>
      <c r="AB45" s="11" t="s">
        <v>35</v>
      </c>
      <c r="AC45" s="10" t="n">
        <f aca="false">IF(AND(ISNUMBER(N45),ISNUMBER(AA45)),N45-AA45,"")</f>
        <v>0.0756443593999015</v>
      </c>
    </row>
    <row r="46" customFormat="false" ht="15" hidden="false" customHeight="false" outlineLevel="0" collapsed="false">
      <c r="A46" s="8" t="s">
        <v>179</v>
      </c>
      <c r="B46" s="8" t="s">
        <v>180</v>
      </c>
      <c r="C46" s="8" t="s">
        <v>31</v>
      </c>
      <c r="D46" s="9" t="n">
        <v>3502.335</v>
      </c>
      <c r="E46" s="9" t="n">
        <v>2782.962</v>
      </c>
      <c r="F46" s="9" t="n">
        <v>2855.954</v>
      </c>
      <c r="G46" s="9" t="n">
        <v>2894.751</v>
      </c>
      <c r="H46" s="9" t="n">
        <v>2651.885</v>
      </c>
      <c r="I46" s="9" t="n">
        <v>349.618</v>
      </c>
      <c r="J46" s="9" t="n">
        <v>294.828</v>
      </c>
      <c r="K46" s="9" t="n">
        <v>250.91</v>
      </c>
      <c r="L46" s="9" t="n">
        <v>288.042</v>
      </c>
      <c r="M46" s="9" t="n">
        <v>247.736</v>
      </c>
      <c r="N46" s="10" t="n">
        <v>0.320696410289285</v>
      </c>
      <c r="O46" s="10" t="n">
        <v>0.411252300836374</v>
      </c>
      <c r="P46" s="10" t="n">
        <v>0.258491851487732</v>
      </c>
      <c r="Q46" s="10" t="n">
        <v>-0.0255578346149833</v>
      </c>
      <c r="R46" s="10" t="n">
        <v>-0.0134025344494224</v>
      </c>
      <c r="S46" s="10" t="n">
        <v>0.0915824027059997</v>
      </c>
      <c r="T46" s="11" t="s">
        <v>35</v>
      </c>
      <c r="U46" s="11" t="s">
        <v>181</v>
      </c>
      <c r="V46" s="8" t="s">
        <v>47</v>
      </c>
      <c r="W46" s="12" t="n">
        <v>120.98</v>
      </c>
      <c r="X46" s="12" t="n">
        <v>188.03</v>
      </c>
      <c r="Y46" s="10" t="n">
        <f aca="false">IF(AND(ISNUMBER(W46),ISNUMBER(X46)),X46/W46-1,"")</f>
        <v>0.554223838651017</v>
      </c>
      <c r="Z46" s="10" t="n">
        <v>0.570465036166846</v>
      </c>
      <c r="AA46" s="10" t="n">
        <v>0.087283277046627</v>
      </c>
      <c r="AB46" s="8"/>
      <c r="AC46" s="10" t="n">
        <f aca="false">IF(AND(ISNUMBER(N46),ISNUMBER(AA46)),N46-AA46,"")</f>
        <v>0.233413133242658</v>
      </c>
    </row>
    <row r="47" customFormat="false" ht="15" hidden="false" customHeight="false" outlineLevel="0" collapsed="false">
      <c r="A47" s="8" t="s">
        <v>182</v>
      </c>
      <c r="B47" s="8" t="s">
        <v>183</v>
      </c>
      <c r="C47" s="8" t="s">
        <v>31</v>
      </c>
      <c r="D47" s="9" t="n">
        <v>8494</v>
      </c>
      <c r="E47" s="9" t="n">
        <v>6758</v>
      </c>
      <c r="F47" s="9" t="n">
        <v>5653</v>
      </c>
      <c r="G47" s="9" t="n">
        <v>5732</v>
      </c>
      <c r="H47" s="9" t="n">
        <v>5355</v>
      </c>
      <c r="I47" s="9" t="n">
        <v>3449</v>
      </c>
      <c r="J47" s="9" t="n">
        <v>2493</v>
      </c>
      <c r="K47" s="9" t="n">
        <v>1667</v>
      </c>
      <c r="L47" s="9" t="n">
        <v>1809</v>
      </c>
      <c r="M47" s="9" t="n">
        <v>1679</v>
      </c>
      <c r="N47" s="10" t="n">
        <v>0.586181139122316</v>
      </c>
      <c r="O47" s="10" t="n">
        <v>1.05419892793329</v>
      </c>
      <c r="P47" s="10" t="n">
        <v>0.256880733944954</v>
      </c>
      <c r="Q47" s="10" t="n">
        <v>0.195471431098532</v>
      </c>
      <c r="R47" s="10" t="n">
        <v>-0.0137822749476623</v>
      </c>
      <c r="S47" s="10" t="n">
        <v>0.0704014939309057</v>
      </c>
      <c r="T47" s="11" t="s">
        <v>35</v>
      </c>
      <c r="U47" s="11" t="s">
        <v>184</v>
      </c>
      <c r="V47" s="8" t="s">
        <v>80</v>
      </c>
      <c r="W47" s="12" t="n">
        <v>116.7</v>
      </c>
      <c r="X47" s="12" t="n">
        <v>141.84</v>
      </c>
      <c r="Y47" s="10" t="n">
        <f aca="false">IF(AND(ISNUMBER(W47),ISNUMBER(X47)),X47/W47-1,"")</f>
        <v>0.215424164524422</v>
      </c>
      <c r="Z47" s="10" t="n">
        <v>0.257675396019303</v>
      </c>
      <c r="AA47" s="10" t="n">
        <v>-0.0907883817427386</v>
      </c>
      <c r="AB47" s="8"/>
      <c r="AC47" s="10" t="n">
        <f aca="false">IF(AND(ISNUMBER(N47),ISNUMBER(AA47)),N47-AA47,"")</f>
        <v>0.676969520865054</v>
      </c>
    </row>
    <row r="48" customFormat="false" ht="15" hidden="false" customHeight="false" outlineLevel="0" collapsed="false">
      <c r="A48" s="8" t="s">
        <v>185</v>
      </c>
      <c r="B48" s="8" t="s">
        <v>186</v>
      </c>
      <c r="C48" s="8" t="s">
        <v>132</v>
      </c>
      <c r="D48" s="9" t="n">
        <v>4905</v>
      </c>
      <c r="E48" s="9" t="n">
        <v>3910</v>
      </c>
      <c r="F48" s="9" t="n">
        <v>2618</v>
      </c>
      <c r="G48" s="9" t="n">
        <v>6456</v>
      </c>
      <c r="H48" s="9" t="n">
        <v>4417</v>
      </c>
      <c r="I48" s="9" t="n">
        <v>1155</v>
      </c>
      <c r="J48" s="9" t="n">
        <v>242</v>
      </c>
      <c r="K48" s="9" t="n">
        <v>-270</v>
      </c>
      <c r="L48" s="9" t="n">
        <v>1832</v>
      </c>
      <c r="M48" s="9" t="n">
        <v>827</v>
      </c>
      <c r="N48" s="10" t="n">
        <v>0.110482227756396</v>
      </c>
      <c r="O48" s="10" t="n">
        <v>0.396614268440145</v>
      </c>
      <c r="P48" s="10" t="n">
        <v>0.254475703324808</v>
      </c>
      <c r="Q48" s="10" t="n">
        <v>0.493506493506493</v>
      </c>
      <c r="R48" s="10" t="n">
        <v>-0.594485749690211</v>
      </c>
      <c r="S48" s="10" t="n">
        <v>0.461625537695268</v>
      </c>
      <c r="T48" s="11" t="s">
        <v>35</v>
      </c>
      <c r="U48" s="11" t="s">
        <v>187</v>
      </c>
      <c r="V48" s="8" t="s">
        <v>104</v>
      </c>
      <c r="W48" s="12" t="n">
        <v>69.61</v>
      </c>
      <c r="X48" s="12" t="n">
        <v>80.42</v>
      </c>
      <c r="Y48" s="10" t="n">
        <f aca="false">IF(AND(ISNUMBER(W48),ISNUMBER(X48)),X48/W48-1,"")</f>
        <v>0.155293779629364</v>
      </c>
      <c r="Z48" s="10" t="n">
        <v>0.166148578038662</v>
      </c>
      <c r="AA48" s="10" t="n">
        <v>0.0562827225130891</v>
      </c>
      <c r="AB48" s="11" t="s">
        <v>35</v>
      </c>
      <c r="AC48" s="10" t="n">
        <f aca="false">IF(AND(ISNUMBER(N48),ISNUMBER(AA48)),N48-AA48,"")</f>
        <v>0.0541995052433066</v>
      </c>
    </row>
    <row r="49" customFormat="false" ht="15" hidden="false" customHeight="false" outlineLevel="0" collapsed="false">
      <c r="A49" s="8" t="s">
        <v>188</v>
      </c>
      <c r="B49" s="8" t="s">
        <v>189</v>
      </c>
      <c r="C49" s="8" t="s">
        <v>31</v>
      </c>
      <c r="D49" s="9" t="n">
        <v>12049</v>
      </c>
      <c r="E49" s="9" t="n">
        <v>9618</v>
      </c>
      <c r="F49" s="9" t="n">
        <v>9065</v>
      </c>
      <c r="G49" s="9" t="n">
        <v>8634</v>
      </c>
      <c r="H49" s="9" t="n">
        <v>7887</v>
      </c>
      <c r="I49" s="9" t="n">
        <v>1597</v>
      </c>
      <c r="J49" s="9" t="n">
        <v>1435</v>
      </c>
      <c r="K49" s="9" t="n">
        <v>1539</v>
      </c>
      <c r="L49" s="9" t="n">
        <v>1568</v>
      </c>
      <c r="M49" s="9" t="n">
        <v>1453</v>
      </c>
      <c r="N49" s="10" t="n">
        <v>0.527703816406745</v>
      </c>
      <c r="O49" s="10" t="n">
        <v>0.0991052993805919</v>
      </c>
      <c r="P49" s="10" t="n">
        <v>0.252755250571844</v>
      </c>
      <c r="Q49" s="10" t="n">
        <v>0.061003861003861</v>
      </c>
      <c r="R49" s="10" t="n">
        <v>0.0499189251795229</v>
      </c>
      <c r="S49" s="10" t="n">
        <v>0.0947128185621911</v>
      </c>
      <c r="T49" s="11" t="s">
        <v>35</v>
      </c>
      <c r="U49" s="11" t="s">
        <v>190</v>
      </c>
      <c r="V49" s="8" t="s">
        <v>80</v>
      </c>
      <c r="W49" s="12" t="n">
        <v>73.67</v>
      </c>
      <c r="X49" s="12" t="n">
        <v>90.54</v>
      </c>
      <c r="Y49" s="10" t="n">
        <f aca="false">IF(AND(ISNUMBER(W49),ISNUMBER(X49)),X49/W49-1,"")</f>
        <v>0.228994163160038</v>
      </c>
      <c r="Z49" s="10" t="n">
        <v>0.295708456565071</v>
      </c>
      <c r="AA49" s="10" t="n">
        <v>0.611565181855333</v>
      </c>
      <c r="AB49" s="8"/>
      <c r="AC49" s="10" t="n">
        <f aca="false">IF(AND(ISNUMBER(N49),ISNUMBER(AA49)),N49-AA49,"")</f>
        <v>-0.0838613654485878</v>
      </c>
    </row>
    <row r="50" customFormat="false" ht="15" hidden="false" customHeight="false" outlineLevel="0" collapsed="false">
      <c r="A50" s="8" t="s">
        <v>191</v>
      </c>
      <c r="B50" s="8" t="s">
        <v>192</v>
      </c>
      <c r="C50" s="8" t="s">
        <v>31</v>
      </c>
      <c r="D50" s="9" t="n">
        <v>19757</v>
      </c>
      <c r="E50" s="9" t="n">
        <v>15854</v>
      </c>
      <c r="F50" s="9" t="n">
        <v>16003</v>
      </c>
      <c r="G50" s="9" t="n">
        <v>16673</v>
      </c>
      <c r="H50" s="9" t="n">
        <v>16648</v>
      </c>
      <c r="I50" s="9" t="n">
        <v>1864</v>
      </c>
      <c r="J50" s="9" t="n">
        <v>501</v>
      </c>
      <c r="K50" s="9" t="n">
        <v>1467</v>
      </c>
      <c r="L50" s="9" t="n">
        <v>1684</v>
      </c>
      <c r="M50" s="9" t="n">
        <v>2102</v>
      </c>
      <c r="N50" s="10" t="n">
        <v>0.186749159058145</v>
      </c>
      <c r="O50" s="10" t="n">
        <v>-0.113225499524263</v>
      </c>
      <c r="P50" s="10" t="n">
        <v>0.246183928346159</v>
      </c>
      <c r="Q50" s="10" t="n">
        <v>-0.00931075423358119</v>
      </c>
      <c r="R50" s="10" t="n">
        <v>-0.040184729802675</v>
      </c>
      <c r="S50" s="10" t="n">
        <v>0.00150168188370969</v>
      </c>
      <c r="T50" s="11" t="s">
        <v>35</v>
      </c>
      <c r="U50" s="11" t="s">
        <v>193</v>
      </c>
      <c r="V50" s="8" t="s">
        <v>47</v>
      </c>
      <c r="W50" s="12" t="n">
        <v>57.71</v>
      </c>
      <c r="X50" s="12" t="n">
        <v>81.75</v>
      </c>
      <c r="Y50" s="10" t="n">
        <f aca="false">IF(AND(ISNUMBER(W50),ISNUMBER(X50)),X50/W50-1,"")</f>
        <v>0.416565586553457</v>
      </c>
      <c r="Z50" s="10" t="n">
        <v>0.432062941006973</v>
      </c>
      <c r="AA50" s="10" t="n">
        <v>-0.000600312162324368</v>
      </c>
      <c r="AB50" s="11" t="s">
        <v>35</v>
      </c>
      <c r="AC50" s="10" t="n">
        <f aca="false">IF(AND(ISNUMBER(N50),ISNUMBER(AA50)),N50-AA50,"")</f>
        <v>0.18734947122047</v>
      </c>
    </row>
    <row r="51" customFormat="false" ht="15" hidden="false" customHeight="false" outlineLevel="0" collapsed="false">
      <c r="A51" s="8" t="s">
        <v>194</v>
      </c>
      <c r="B51" s="8" t="s">
        <v>195</v>
      </c>
      <c r="C51" s="8" t="s">
        <v>31</v>
      </c>
      <c r="D51" s="9" t="n">
        <v>1006.3</v>
      </c>
      <c r="E51" s="9" t="n">
        <v>808.4</v>
      </c>
      <c r="F51" s="9" t="n">
        <v>665.5</v>
      </c>
      <c r="G51" s="9" t="n">
        <v>533.8</v>
      </c>
      <c r="H51" s="9" t="n">
        <v>480.7</v>
      </c>
      <c r="I51" s="9" t="n">
        <v>281.7</v>
      </c>
      <c r="J51" s="9" t="n">
        <v>175.6</v>
      </c>
      <c r="K51" s="9" t="n">
        <v>63.9</v>
      </c>
      <c r="L51" s="9" t="n">
        <v>15</v>
      </c>
      <c r="M51" s="9" t="n">
        <v>-3.2</v>
      </c>
      <c r="N51" s="10" t="n">
        <v>1.09340545038486</v>
      </c>
      <c r="O51" s="13" t="s">
        <v>110</v>
      </c>
      <c r="P51" s="10" t="n">
        <v>0.24480455220188</v>
      </c>
      <c r="Q51" s="10" t="n">
        <v>0.214725770097671</v>
      </c>
      <c r="R51" s="10" t="n">
        <v>0.246721618583739</v>
      </c>
      <c r="S51" s="10" t="n">
        <v>0.11046390680258</v>
      </c>
      <c r="T51" s="11" t="s">
        <v>35</v>
      </c>
      <c r="U51" s="11" t="s">
        <v>196</v>
      </c>
      <c r="V51" s="8" t="s">
        <v>34</v>
      </c>
      <c r="W51" s="12" t="n">
        <v>152.75</v>
      </c>
      <c r="X51" s="12" t="n">
        <v>937</v>
      </c>
      <c r="Y51" s="10" t="n">
        <f aca="false">IF(AND(ISNUMBER(W51),ISNUMBER(X51)),X51/W51-1,"")</f>
        <v>5.1342062193126</v>
      </c>
      <c r="Z51" s="10" t="n">
        <v>5.1342062193126</v>
      </c>
      <c r="AA51" s="10" t="n">
        <v>0.559195588712293</v>
      </c>
      <c r="AB51" s="11" t="s">
        <v>35</v>
      </c>
      <c r="AC51" s="10" t="n">
        <f aca="false">IF(AND(ISNUMBER(N51),ISNUMBER(AA51)),N51-AA51,"")</f>
        <v>0.534209861672562</v>
      </c>
    </row>
    <row r="52" customFormat="false" ht="15" hidden="false" customHeight="false" outlineLevel="0" collapsed="false">
      <c r="A52" s="8" t="s">
        <v>197</v>
      </c>
      <c r="B52" s="8" t="s">
        <v>198</v>
      </c>
      <c r="C52" s="8" t="s">
        <v>31</v>
      </c>
      <c r="D52" s="9" t="n">
        <v>24181</v>
      </c>
      <c r="E52" s="9" t="n">
        <v>19443</v>
      </c>
      <c r="F52" s="9" t="n">
        <v>29343</v>
      </c>
      <c r="G52" s="9" t="n">
        <v>23937</v>
      </c>
      <c r="H52" s="9" t="n">
        <v>22726</v>
      </c>
      <c r="I52" s="9" t="n">
        <v>4023</v>
      </c>
      <c r="J52" s="9" t="n">
        <v>3213</v>
      </c>
      <c r="K52" s="9" t="n">
        <v>3557</v>
      </c>
      <c r="L52" s="9" t="n">
        <v>3702</v>
      </c>
      <c r="M52" s="9" t="n">
        <v>3649</v>
      </c>
      <c r="N52" s="10" t="n">
        <v>0.064023585320778</v>
      </c>
      <c r="O52" s="10" t="n">
        <v>0.102493833927103</v>
      </c>
      <c r="P52" s="10" t="n">
        <v>0.243686673867202</v>
      </c>
      <c r="Q52" s="10" t="n">
        <v>-0.337388815049586</v>
      </c>
      <c r="R52" s="10" t="n">
        <v>0.225842837448302</v>
      </c>
      <c r="S52" s="10" t="n">
        <v>0.0532869840711079</v>
      </c>
      <c r="T52" s="11" t="s">
        <v>35</v>
      </c>
      <c r="U52" s="11" t="s">
        <v>199</v>
      </c>
      <c r="V52" s="8" t="s">
        <v>84</v>
      </c>
      <c r="W52" s="12" t="n">
        <v>142.17</v>
      </c>
      <c r="X52" s="12" t="n">
        <v>130.18</v>
      </c>
      <c r="Y52" s="10" t="n">
        <f aca="false">IF(AND(ISNUMBER(W52),ISNUMBER(X52)),X52/W52-1,"")</f>
        <v>-0.084335654498136</v>
      </c>
      <c r="Z52" s="10" t="n">
        <v>-0.0472333058199284</v>
      </c>
      <c r="AA52" s="10" t="n">
        <v>0.00999955557530785</v>
      </c>
      <c r="AB52" s="11" t="s">
        <v>35</v>
      </c>
      <c r="AC52" s="10" t="n">
        <f aca="false">IF(AND(ISNUMBER(N52),ISNUMBER(AA52)),N52-AA52,"")</f>
        <v>0.0540240297454702</v>
      </c>
    </row>
    <row r="53" customFormat="false" ht="15" hidden="false" customHeight="false" outlineLevel="0" collapsed="false">
      <c r="A53" s="8" t="s">
        <v>200</v>
      </c>
      <c r="B53" s="8" t="s">
        <v>201</v>
      </c>
      <c r="C53" s="8" t="s">
        <v>38</v>
      </c>
      <c r="D53" s="9" t="n">
        <v>5678.336</v>
      </c>
      <c r="E53" s="9" t="n">
        <v>4571.779</v>
      </c>
      <c r="F53" s="9" t="n">
        <v>3916.132</v>
      </c>
      <c r="G53" s="9" t="n">
        <v>4506.084</v>
      </c>
      <c r="H53" s="9" t="n">
        <v>4567.106</v>
      </c>
      <c r="I53" s="9" t="n">
        <v>369.089</v>
      </c>
      <c r="J53" s="9" t="n">
        <v>234.839</v>
      </c>
      <c r="K53" s="9" t="n">
        <v>194.828</v>
      </c>
      <c r="L53" s="9" t="n">
        <v>298.683</v>
      </c>
      <c r="M53" s="9" t="n">
        <v>305.307</v>
      </c>
      <c r="N53" s="10" t="n">
        <v>0.243311628852057</v>
      </c>
      <c r="O53" s="10" t="n">
        <v>0.208911030536476</v>
      </c>
      <c r="P53" s="10" t="n">
        <v>0.242040789810706</v>
      </c>
      <c r="Q53" s="10" t="n">
        <v>0.167422088938779</v>
      </c>
      <c r="R53" s="10" t="n">
        <v>-0.130923435959028</v>
      </c>
      <c r="S53" s="10" t="n">
        <v>-0.0133611963462201</v>
      </c>
      <c r="T53" s="11" t="s">
        <v>35</v>
      </c>
      <c r="U53" s="11" t="s">
        <v>202</v>
      </c>
      <c r="V53" s="8" t="s">
        <v>84</v>
      </c>
      <c r="W53" s="12" t="n">
        <v>547.05</v>
      </c>
      <c r="X53" s="12" t="n">
        <v>597.31</v>
      </c>
      <c r="Y53" s="10" t="n">
        <f aca="false">IF(AND(ISNUMBER(W53),ISNUMBER(X53)),X53/W53-1,"")</f>
        <v>0.0918746001279591</v>
      </c>
      <c r="Z53" s="10" t="n">
        <v>0.0956763543343266</v>
      </c>
      <c r="AA53" s="10" t="n">
        <v>0.114543466308355</v>
      </c>
      <c r="AB53" s="8" t="s">
        <v>32</v>
      </c>
      <c r="AC53" s="10" t="n">
        <f aca="false">IF(AND(ISNUMBER(N53),ISNUMBER(AA53)),N53-AA53,"")</f>
        <v>0.128768162543701</v>
      </c>
    </row>
    <row r="54" customFormat="false" ht="15" hidden="false" customHeight="false" outlineLevel="0" collapsed="false">
      <c r="A54" s="8" t="s">
        <v>203</v>
      </c>
      <c r="B54" s="8" t="s">
        <v>204</v>
      </c>
      <c r="C54" s="8" t="s">
        <v>31</v>
      </c>
      <c r="D54" s="9" t="n">
        <v>2330.339</v>
      </c>
      <c r="E54" s="9" t="n">
        <v>1884.692</v>
      </c>
      <c r="F54" s="9" t="n">
        <v>2717.314</v>
      </c>
      <c r="G54" s="9" t="n">
        <v>2614.386</v>
      </c>
      <c r="H54" s="9" t="n">
        <v>2603.307</v>
      </c>
      <c r="I54" s="9" t="n">
        <v>312.248</v>
      </c>
      <c r="J54" s="9" t="n">
        <v>230.055</v>
      </c>
      <c r="K54" s="9" t="n">
        <v>452.081</v>
      </c>
      <c r="L54" s="9" t="n">
        <v>427.855</v>
      </c>
      <c r="M54" s="9" t="n">
        <v>427.729</v>
      </c>
      <c r="N54" s="10" t="n">
        <v>-0.104854325671156</v>
      </c>
      <c r="O54" s="10" t="n">
        <v>-0.269986369874383</v>
      </c>
      <c r="P54" s="10" t="n">
        <v>0.236456142436005</v>
      </c>
      <c r="Q54" s="10" t="n">
        <v>-0.306413612854459</v>
      </c>
      <c r="R54" s="10" t="n">
        <v>0.0393698558667313</v>
      </c>
      <c r="S54" s="10" t="n">
        <v>0.00425574087113034</v>
      </c>
      <c r="T54" s="11" t="s">
        <v>35</v>
      </c>
      <c r="U54" s="11" t="s">
        <v>205</v>
      </c>
      <c r="V54" s="8" t="s">
        <v>43</v>
      </c>
      <c r="W54" s="12" t="n">
        <v>8036.6299</v>
      </c>
      <c r="X54" s="12" t="n">
        <v>6241.6099</v>
      </c>
      <c r="Y54" s="10" t="n">
        <f aca="false">IF(AND(ISNUMBER(W54),ISNUMBER(X54)),X54/W54-1,"")</f>
        <v>-0.223354816923945</v>
      </c>
      <c r="Z54" s="10" t="n">
        <v>-0.2233548198319</v>
      </c>
      <c r="AA54" s="10" t="n">
        <v>-0.00522228691228222</v>
      </c>
      <c r="AB54" s="8"/>
      <c r="AC54" s="10" t="n">
        <f aca="false">IF(AND(ISNUMBER(N54),ISNUMBER(AA54)),N54-AA54,"")</f>
        <v>-0.0996320387588737</v>
      </c>
    </row>
    <row r="55" customFormat="false" ht="15" hidden="false" customHeight="false" outlineLevel="0" collapsed="false">
      <c r="A55" s="8" t="s">
        <v>206</v>
      </c>
      <c r="B55" s="8" t="s">
        <v>207</v>
      </c>
      <c r="C55" s="8" t="s">
        <v>31</v>
      </c>
      <c r="D55" s="9" t="n">
        <v>3274.3</v>
      </c>
      <c r="E55" s="9" t="n">
        <v>2649.5</v>
      </c>
      <c r="F55" s="9" t="n">
        <v>2880</v>
      </c>
      <c r="G55" s="9" t="n">
        <v>2675.8</v>
      </c>
      <c r="H55" s="9" t="n">
        <v>2638.1</v>
      </c>
      <c r="I55" s="9" t="n">
        <v>637.9</v>
      </c>
      <c r="J55" s="9" t="n">
        <v>433.6</v>
      </c>
      <c r="K55" s="9" t="n">
        <v>606.9</v>
      </c>
      <c r="L55" s="9" t="n">
        <v>548.3</v>
      </c>
      <c r="M55" s="9" t="n">
        <v>446.6</v>
      </c>
      <c r="N55" s="10" t="n">
        <v>0.241158409461355</v>
      </c>
      <c r="O55" s="10" t="n">
        <v>0.428347514554411</v>
      </c>
      <c r="P55" s="10" t="n">
        <v>0.235818078882808</v>
      </c>
      <c r="Q55" s="10" t="n">
        <v>-0.0800347222222222</v>
      </c>
      <c r="R55" s="10" t="n">
        <v>0.0763136258315271</v>
      </c>
      <c r="S55" s="10" t="n">
        <v>0.0142905879231265</v>
      </c>
      <c r="T55" s="11" t="s">
        <v>35</v>
      </c>
      <c r="U55" s="11" t="s">
        <v>208</v>
      </c>
      <c r="V55" s="8" t="s">
        <v>47</v>
      </c>
      <c r="W55" s="12" t="n">
        <v>141.62</v>
      </c>
      <c r="X55" s="12" t="n">
        <v>248.78</v>
      </c>
      <c r="Y55" s="10" t="n">
        <f aca="false">IF(AND(ISNUMBER(W55),ISNUMBER(X55)),X55/W55-1,"")</f>
        <v>0.756672786329614</v>
      </c>
      <c r="Z55" s="10" t="n">
        <v>0.758543321048876</v>
      </c>
      <c r="AA55" s="10" t="n">
        <v>0.350931995083982</v>
      </c>
      <c r="AB55" s="11" t="s">
        <v>35</v>
      </c>
      <c r="AC55" s="10" t="n">
        <f aca="false">IF(AND(ISNUMBER(N55),ISNUMBER(AA55)),N55-AA55,"")</f>
        <v>-0.109773585622627</v>
      </c>
    </row>
    <row r="56" customFormat="false" ht="15" hidden="false" customHeight="false" outlineLevel="0" collapsed="false">
      <c r="A56" s="8" t="s">
        <v>209</v>
      </c>
      <c r="B56" s="8" t="s">
        <v>210</v>
      </c>
      <c r="C56" s="8" t="s">
        <v>31</v>
      </c>
      <c r="D56" s="9" t="n">
        <v>12092</v>
      </c>
      <c r="E56" s="9" t="n">
        <v>9794</v>
      </c>
      <c r="F56" s="9" t="n">
        <v>9460</v>
      </c>
      <c r="G56" s="9" t="n">
        <v>9973</v>
      </c>
      <c r="H56" s="9" t="n">
        <v>10104</v>
      </c>
      <c r="I56" s="9" t="n">
        <v>1385</v>
      </c>
      <c r="J56" s="9" t="n">
        <v>-4</v>
      </c>
      <c r="K56" s="9" t="n">
        <v>-10</v>
      </c>
      <c r="L56" s="9" t="n">
        <v>154</v>
      </c>
      <c r="M56" s="9" t="n">
        <v>-15</v>
      </c>
      <c r="N56" s="10" t="n">
        <v>0.196753760886778</v>
      </c>
      <c r="O56" s="13" t="s">
        <v>110</v>
      </c>
      <c r="P56" s="10" t="n">
        <v>0.234633449050439</v>
      </c>
      <c r="Q56" s="10" t="n">
        <v>0.035306553911205</v>
      </c>
      <c r="R56" s="10" t="n">
        <v>-0.0514388849894716</v>
      </c>
      <c r="S56" s="10" t="n">
        <v>-0.0129651623119557</v>
      </c>
      <c r="T56" s="11" t="s">
        <v>35</v>
      </c>
      <c r="U56" s="11" t="s">
        <v>211</v>
      </c>
      <c r="V56" s="8" t="s">
        <v>104</v>
      </c>
      <c r="W56" s="12" t="n">
        <v>23.13</v>
      </c>
      <c r="X56" s="12" t="n">
        <v>28.65</v>
      </c>
      <c r="Y56" s="10" t="n">
        <f aca="false">IF(AND(ISNUMBER(W56),ISNUMBER(X56)),X56/W56-1,"")</f>
        <v>0.238651102464332</v>
      </c>
      <c r="Z56" s="10" t="n">
        <v>0.299785564838622</v>
      </c>
      <c r="AA56" s="10" t="n">
        <v>-0.0743014200641319</v>
      </c>
      <c r="AB56" s="8"/>
      <c r="AC56" s="10" t="n">
        <f aca="false">IF(AND(ISNUMBER(N56),ISNUMBER(AA56)),N56-AA56,"")</f>
        <v>0.271055180950909</v>
      </c>
    </row>
    <row r="57" customFormat="false" ht="15" hidden="false" customHeight="false" outlineLevel="0" collapsed="false">
      <c r="A57" s="8" t="s">
        <v>212</v>
      </c>
      <c r="B57" s="8" t="s">
        <v>213</v>
      </c>
      <c r="C57" s="8" t="s">
        <v>31</v>
      </c>
      <c r="D57" s="9" t="n">
        <v>2155.8</v>
      </c>
      <c r="E57" s="9" t="n">
        <v>1755.9</v>
      </c>
      <c r="F57" s="9" t="n">
        <v>1912.6</v>
      </c>
      <c r="G57" s="9" t="n">
        <v>2291.5</v>
      </c>
      <c r="H57" s="9" t="n">
        <v>2102.4</v>
      </c>
      <c r="I57" s="9" t="n">
        <v>466.8</v>
      </c>
      <c r="J57" s="9" t="n">
        <v>265.7</v>
      </c>
      <c r="K57" s="9" t="n">
        <v>335.7</v>
      </c>
      <c r="L57" s="9" t="n">
        <v>542.6</v>
      </c>
      <c r="M57" s="9" t="n">
        <v>469.8</v>
      </c>
      <c r="N57" s="10" t="n">
        <v>0.0253995433789955</v>
      </c>
      <c r="O57" s="10" t="n">
        <v>-0.00638569604086847</v>
      </c>
      <c r="P57" s="10" t="n">
        <v>0.227746454809499</v>
      </c>
      <c r="Q57" s="10" t="n">
        <v>-0.0819303565826623</v>
      </c>
      <c r="R57" s="10" t="n">
        <v>-0.165350207287803</v>
      </c>
      <c r="S57" s="10" t="n">
        <v>0.0899448249619483</v>
      </c>
      <c r="T57" s="11" t="s">
        <v>35</v>
      </c>
      <c r="U57" s="11" t="s">
        <v>214</v>
      </c>
      <c r="V57" s="8" t="s">
        <v>104</v>
      </c>
      <c r="W57" s="12" t="n">
        <v>293.81</v>
      </c>
      <c r="X57" s="12" t="n">
        <v>244.4</v>
      </c>
      <c r="Y57" s="10" t="n">
        <f aca="false">IF(AND(ISNUMBER(W57),ISNUMBER(X57)),X57/W57-1,"")</f>
        <v>-0.168169905721385</v>
      </c>
      <c r="Z57" s="10" t="n">
        <v>-0.161956295730209</v>
      </c>
      <c r="AA57" s="10" t="n">
        <v>0.0436854646544878</v>
      </c>
      <c r="AB57" s="11" t="s">
        <v>35</v>
      </c>
      <c r="AC57" s="10" t="n">
        <f aca="false">IF(AND(ISNUMBER(N57),ISNUMBER(AA57)),N57-AA57,"")</f>
        <v>-0.0182859212754922</v>
      </c>
    </row>
    <row r="58" customFormat="false" ht="15" hidden="false" customHeight="false" outlineLevel="0" collapsed="false">
      <c r="A58" s="8" t="s">
        <v>215</v>
      </c>
      <c r="B58" s="8" t="s">
        <v>216</v>
      </c>
      <c r="C58" s="8" t="s">
        <v>31</v>
      </c>
      <c r="D58" s="9" t="n">
        <v>1308</v>
      </c>
      <c r="E58" s="9" t="n">
        <v>1067</v>
      </c>
      <c r="F58" s="9" t="n">
        <v>1283</v>
      </c>
      <c r="G58" s="9" t="n">
        <v>1274</v>
      </c>
      <c r="H58" s="9" t="n">
        <v>989</v>
      </c>
      <c r="I58" s="9" t="n">
        <v>574</v>
      </c>
      <c r="J58" s="9" t="n">
        <v>411</v>
      </c>
      <c r="K58" s="9" t="n">
        <v>650</v>
      </c>
      <c r="L58" s="9" t="n">
        <v>635</v>
      </c>
      <c r="M58" s="9" t="n">
        <v>439</v>
      </c>
      <c r="N58" s="10" t="n">
        <v>0.322548028311426</v>
      </c>
      <c r="O58" s="10" t="n">
        <v>0.30751708428246</v>
      </c>
      <c r="P58" s="10" t="n">
        <v>0.225866916588566</v>
      </c>
      <c r="Q58" s="10" t="n">
        <v>-0.168355416991426</v>
      </c>
      <c r="R58" s="10" t="n">
        <v>0.00706436420722145</v>
      </c>
      <c r="S58" s="10" t="n">
        <v>0.288169868554095</v>
      </c>
      <c r="T58" s="11" t="s">
        <v>35</v>
      </c>
      <c r="U58" s="11" t="s">
        <v>217</v>
      </c>
      <c r="V58" s="8" t="s">
        <v>51</v>
      </c>
      <c r="W58" s="12" t="n">
        <v>126.8</v>
      </c>
      <c r="X58" s="12" t="n">
        <v>122.7</v>
      </c>
      <c r="Y58" s="10" t="n">
        <f aca="false">IF(AND(ISNUMBER(W58),ISNUMBER(X58)),X58/W58-1,"")</f>
        <v>-0.0323343848580441</v>
      </c>
      <c r="Z58" s="10" t="n">
        <v>-0.0323344322148168</v>
      </c>
      <c r="AA58" s="10" t="n">
        <v>0.450146627565982</v>
      </c>
      <c r="AB58" s="8"/>
      <c r="AC58" s="10" t="n">
        <f aca="false">IF(AND(ISNUMBER(N58),ISNUMBER(AA58)),N58-AA58,"")</f>
        <v>-0.127598599254557</v>
      </c>
    </row>
    <row r="59" customFormat="false" ht="15" hidden="false" customHeight="false" outlineLevel="0" collapsed="false">
      <c r="A59" s="8" t="s">
        <v>218</v>
      </c>
      <c r="B59" s="8" t="s">
        <v>219</v>
      </c>
      <c r="C59" s="8" t="s">
        <v>132</v>
      </c>
      <c r="D59" s="9" t="n">
        <v>2176</v>
      </c>
      <c r="E59" s="9" t="n">
        <v>1782</v>
      </c>
      <c r="F59" s="9" t="n">
        <v>2699</v>
      </c>
      <c r="G59" s="9" t="n">
        <v>2221</v>
      </c>
      <c r="H59" s="9" t="n">
        <v>2097</v>
      </c>
      <c r="I59" s="9" t="n">
        <v>532</v>
      </c>
      <c r="J59" s="9" t="n">
        <v>360</v>
      </c>
      <c r="K59" s="9" t="n">
        <v>825</v>
      </c>
      <c r="L59" s="9" t="n">
        <v>411</v>
      </c>
      <c r="M59" s="9" t="n">
        <v>430</v>
      </c>
      <c r="N59" s="10" t="n">
        <v>0.0376728659990462</v>
      </c>
      <c r="O59" s="10" t="n">
        <v>0.237209302325582</v>
      </c>
      <c r="P59" s="10" t="n">
        <v>0.221099887766554</v>
      </c>
      <c r="Q59" s="10" t="n">
        <v>-0.339755464987032</v>
      </c>
      <c r="R59" s="10" t="n">
        <v>0.215218370103557</v>
      </c>
      <c r="S59" s="10" t="n">
        <v>0.0591320934668573</v>
      </c>
      <c r="T59" s="11" t="s">
        <v>35</v>
      </c>
      <c r="U59" s="11" t="s">
        <v>220</v>
      </c>
      <c r="V59" s="8" t="s">
        <v>134</v>
      </c>
      <c r="W59" s="12" t="n">
        <v>100.85</v>
      </c>
      <c r="X59" s="12" t="n">
        <v>99.74</v>
      </c>
      <c r="Y59" s="10" t="n">
        <f aca="false">IF(AND(ISNUMBER(W59),ISNUMBER(X59)),X59/W59-1,"")</f>
        <v>-0.0110064452156668</v>
      </c>
      <c r="Z59" s="10" t="n">
        <v>0.0171148035243056</v>
      </c>
      <c r="AA59" s="10" t="n">
        <v>0.311872415829888</v>
      </c>
      <c r="AB59" s="8"/>
      <c r="AC59" s="10" t="n">
        <f aca="false">IF(AND(ISNUMBER(N59),ISNUMBER(AA59)),N59-AA59,"")</f>
        <v>-0.274199549830842</v>
      </c>
    </row>
    <row r="60" customFormat="false" ht="15" hidden="false" customHeight="false" outlineLevel="0" collapsed="false">
      <c r="A60" s="8" t="s">
        <v>221</v>
      </c>
      <c r="B60" s="8" t="s">
        <v>222</v>
      </c>
      <c r="C60" s="8" t="s">
        <v>31</v>
      </c>
      <c r="D60" s="9" t="n">
        <v>9227.1</v>
      </c>
      <c r="E60" s="9" t="n">
        <v>7558.1</v>
      </c>
      <c r="F60" s="9" t="n">
        <v>6886.9</v>
      </c>
      <c r="G60" s="9" t="n">
        <v>9677.8</v>
      </c>
      <c r="H60" s="9" t="n">
        <v>9225.7</v>
      </c>
      <c r="I60" s="9" t="n">
        <v>1155</v>
      </c>
      <c r="J60" s="9" t="n">
        <v>800</v>
      </c>
      <c r="K60" s="9" t="n">
        <v>729.6</v>
      </c>
      <c r="L60" s="9" t="n">
        <v>1125.8</v>
      </c>
      <c r="M60" s="9" t="n">
        <v>1264.9</v>
      </c>
      <c r="N60" s="10" t="n">
        <v>0.000151750002709727</v>
      </c>
      <c r="O60" s="10" t="n">
        <v>-0.0868843386828998</v>
      </c>
      <c r="P60" s="10" t="n">
        <v>0.220822693534089</v>
      </c>
      <c r="Q60" s="10" t="n">
        <v>0.0974603958239557</v>
      </c>
      <c r="R60" s="10" t="n">
        <v>-0.288381656988158</v>
      </c>
      <c r="S60" s="10" t="n">
        <v>0.0490044115893644</v>
      </c>
      <c r="T60" s="11" t="s">
        <v>35</v>
      </c>
      <c r="U60" s="11" t="s">
        <v>223</v>
      </c>
      <c r="V60" s="8" t="s">
        <v>43</v>
      </c>
      <c r="W60" s="12" t="n">
        <v>167.45</v>
      </c>
      <c r="X60" s="12" t="n">
        <v>140.17</v>
      </c>
      <c r="Y60" s="10" t="n">
        <f aca="false">IF(AND(ISNUMBER(W60),ISNUMBER(X60)),X60/W60-1,"")</f>
        <v>-0.162914302776948</v>
      </c>
      <c r="Z60" s="10" t="n">
        <v>-0.152866810619296</v>
      </c>
      <c r="AA60" s="10" t="n">
        <v>-0.0742546935990447</v>
      </c>
      <c r="AB60" s="11" t="s">
        <v>35</v>
      </c>
      <c r="AC60" s="10" t="n">
        <f aca="false">IF(AND(ISNUMBER(N60),ISNUMBER(AA60)),N60-AA60,"")</f>
        <v>0.0744064436017544</v>
      </c>
    </row>
    <row r="61" customFormat="false" ht="15" hidden="false" customHeight="false" outlineLevel="0" collapsed="false">
      <c r="A61" s="8" t="s">
        <v>224</v>
      </c>
      <c r="B61" s="8" t="s">
        <v>225</v>
      </c>
      <c r="C61" s="8" t="s">
        <v>31</v>
      </c>
      <c r="D61" s="9" t="n">
        <v>1743.313</v>
      </c>
      <c r="E61" s="9" t="n">
        <v>1428.731</v>
      </c>
      <c r="F61" s="9" t="n">
        <v>1428.031</v>
      </c>
      <c r="G61" s="9" t="n">
        <v>1307.829</v>
      </c>
      <c r="H61" s="9" t="n">
        <v>1329.992</v>
      </c>
      <c r="I61" s="9" t="n">
        <v>460.281</v>
      </c>
      <c r="J61" s="9" t="n">
        <v>354.39</v>
      </c>
      <c r="K61" s="9" t="n">
        <v>30.253</v>
      </c>
      <c r="L61" s="9" t="n">
        <v>-33.641</v>
      </c>
      <c r="M61" s="9" t="n">
        <v>51.975</v>
      </c>
      <c r="N61" s="10" t="n">
        <v>0.310769538463389</v>
      </c>
      <c r="O61" s="10" t="n">
        <v>7.8558152958153</v>
      </c>
      <c r="P61" s="10" t="n">
        <v>0.220182805580617</v>
      </c>
      <c r="Q61" s="10" t="n">
        <v>0.000490185437150847</v>
      </c>
      <c r="R61" s="10" t="n">
        <v>0.0919095692173824</v>
      </c>
      <c r="S61" s="10" t="n">
        <v>-0.0166640100090828</v>
      </c>
      <c r="T61" s="11" t="s">
        <v>35</v>
      </c>
      <c r="U61" s="11" t="s">
        <v>226</v>
      </c>
      <c r="V61" s="8" t="s">
        <v>104</v>
      </c>
      <c r="W61" s="12" t="n">
        <v>81.58</v>
      </c>
      <c r="X61" s="12" t="n">
        <v>113.47</v>
      </c>
      <c r="Y61" s="10" t="n">
        <f aca="false">IF(AND(ISNUMBER(W61),ISNUMBER(X61)),X61/W61-1,"")</f>
        <v>0.3909046334886</v>
      </c>
      <c r="Z61" s="10" t="n">
        <v>0.406852540679352</v>
      </c>
      <c r="AA61" s="10" t="n">
        <v>-0.0701859988744289</v>
      </c>
      <c r="AB61" s="11" t="s">
        <v>35</v>
      </c>
      <c r="AC61" s="10" t="n">
        <f aca="false">IF(AND(ISNUMBER(N61),ISNUMBER(AA61)),N61-AA61,"")</f>
        <v>0.380955537337818</v>
      </c>
    </row>
    <row r="62" customFormat="false" ht="15" hidden="false" customHeight="false" outlineLevel="0" collapsed="false">
      <c r="A62" s="8" t="s">
        <v>227</v>
      </c>
      <c r="B62" s="8" t="s">
        <v>228</v>
      </c>
      <c r="C62" s="8" t="s">
        <v>31</v>
      </c>
      <c r="D62" s="9" t="n">
        <v>980.642</v>
      </c>
      <c r="E62" s="9" t="n">
        <v>804.185</v>
      </c>
      <c r="F62" s="9" t="n">
        <v>751.155</v>
      </c>
      <c r="G62" s="9" t="n">
        <v>737.176</v>
      </c>
      <c r="H62" s="9" t="n">
        <v>664.574</v>
      </c>
      <c r="I62" s="9" t="n">
        <v>303.894</v>
      </c>
      <c r="J62" s="9" t="n">
        <v>241.152</v>
      </c>
      <c r="K62" s="9" t="n">
        <v>199.936</v>
      </c>
      <c r="L62" s="9" t="n">
        <v>195.183</v>
      </c>
      <c r="M62" s="9" t="n">
        <v>164.758</v>
      </c>
      <c r="N62" s="10" t="n">
        <v>0.475594892367141</v>
      </c>
      <c r="O62" s="10" t="n">
        <v>0.84448706587844</v>
      </c>
      <c r="P62" s="10" t="n">
        <v>0.219423391383823</v>
      </c>
      <c r="Q62" s="10" t="n">
        <v>0.0705979458300883</v>
      </c>
      <c r="R62" s="10" t="n">
        <v>0.0189629070940995</v>
      </c>
      <c r="S62" s="10" t="n">
        <v>0.109245922952147</v>
      </c>
      <c r="T62" s="11" t="s">
        <v>35</v>
      </c>
      <c r="U62" s="11" t="s">
        <v>229</v>
      </c>
      <c r="V62" s="8" t="s">
        <v>34</v>
      </c>
      <c r="W62" s="12" t="n">
        <v>908.45</v>
      </c>
      <c r="X62" s="12" t="n">
        <v>1355.47</v>
      </c>
      <c r="Y62" s="10" t="n">
        <f aca="false">IF(AND(ISNUMBER(W62),ISNUMBER(X62)),X62/W62-1,"")</f>
        <v>0.492068908580549</v>
      </c>
      <c r="Z62" s="10" t="n">
        <v>0.502509366995431</v>
      </c>
      <c r="AA62" s="10" t="n">
        <v>0.309683484059902</v>
      </c>
      <c r="AB62" s="8"/>
      <c r="AC62" s="10" t="n">
        <f aca="false">IF(AND(ISNUMBER(N62),ISNUMBER(AA62)),N62-AA62,"")</f>
        <v>0.165911408307239</v>
      </c>
    </row>
    <row r="63" customFormat="false" ht="15" hidden="false" customHeight="false" outlineLevel="0" collapsed="false">
      <c r="A63" s="8" t="s">
        <v>230</v>
      </c>
      <c r="B63" s="8" t="s">
        <v>231</v>
      </c>
      <c r="C63" s="8" t="s">
        <v>31</v>
      </c>
      <c r="D63" s="9" t="n">
        <v>19161</v>
      </c>
      <c r="E63" s="9" t="n">
        <v>15761</v>
      </c>
      <c r="F63" s="9" t="n">
        <v>13392</v>
      </c>
      <c r="G63" s="9" t="n">
        <v>15031</v>
      </c>
      <c r="H63" s="9" t="n">
        <v>14004</v>
      </c>
      <c r="I63" s="9" t="n">
        <v>5979</v>
      </c>
      <c r="J63" s="9" t="n">
        <v>3387</v>
      </c>
      <c r="K63" s="9" t="n">
        <v>1760</v>
      </c>
      <c r="L63" s="9" t="n">
        <v>2758</v>
      </c>
      <c r="M63" s="9" t="n">
        <v>2606</v>
      </c>
      <c r="N63" s="10" t="n">
        <v>0.368251928020566</v>
      </c>
      <c r="O63" s="10" t="n">
        <v>1.2943207981581</v>
      </c>
      <c r="P63" s="10" t="n">
        <v>0.215722352642599</v>
      </c>
      <c r="Q63" s="10" t="n">
        <v>0.176896654719235</v>
      </c>
      <c r="R63" s="10" t="n">
        <v>-0.109041314616459</v>
      </c>
      <c r="S63" s="10" t="n">
        <v>0.073336189660097</v>
      </c>
      <c r="T63" s="11" t="s">
        <v>35</v>
      </c>
      <c r="U63" s="11" t="s">
        <v>232</v>
      </c>
      <c r="V63" s="8" t="s">
        <v>80</v>
      </c>
      <c r="W63" s="12" t="n">
        <v>95.63</v>
      </c>
      <c r="X63" s="12" t="n">
        <v>128.09</v>
      </c>
      <c r="Y63" s="10" t="n">
        <f aca="false">IF(AND(ISNUMBER(W63),ISNUMBER(X63)),X63/W63-1,"")</f>
        <v>0.339433232249294</v>
      </c>
      <c r="Z63" s="10" t="n">
        <v>0.381660898571893</v>
      </c>
      <c r="AA63" s="10" t="n">
        <v>0.0281938325991189</v>
      </c>
      <c r="AB63" s="8"/>
      <c r="AC63" s="10" t="n">
        <f aca="false">IF(AND(ISNUMBER(N63),ISNUMBER(AA63)),N63-AA63,"")</f>
        <v>0.340058095421447</v>
      </c>
    </row>
    <row r="64" customFormat="false" ht="15" hidden="false" customHeight="false" outlineLevel="0" collapsed="false">
      <c r="A64" s="8" t="s">
        <v>233</v>
      </c>
      <c r="B64" s="8" t="s">
        <v>234</v>
      </c>
      <c r="C64" s="8" t="s">
        <v>31</v>
      </c>
      <c r="D64" s="9" t="n">
        <v>9556.997</v>
      </c>
      <c r="E64" s="9" t="n">
        <v>7874.787</v>
      </c>
      <c r="F64" s="9" t="n">
        <v>7841.948</v>
      </c>
      <c r="G64" s="9" t="n">
        <v>7631.408</v>
      </c>
      <c r="H64" s="9" t="n">
        <v>6773.007</v>
      </c>
      <c r="I64" s="9" t="n">
        <v>689.731</v>
      </c>
      <c r="J64" s="9" t="n">
        <v>334.222</v>
      </c>
      <c r="K64" s="9" t="n">
        <v>480.238</v>
      </c>
      <c r="L64" s="9" t="n">
        <v>510.289</v>
      </c>
      <c r="M64" s="9" t="n">
        <v>366.041</v>
      </c>
      <c r="N64" s="10" t="n">
        <v>0.411041949314389</v>
      </c>
      <c r="O64" s="10" t="n">
        <v>0.884299846192093</v>
      </c>
      <c r="P64" s="10" t="n">
        <v>0.213619746159483</v>
      </c>
      <c r="Q64" s="10" t="n">
        <v>0.00418760746692026</v>
      </c>
      <c r="R64" s="10" t="n">
        <v>0.0275886179850429</v>
      </c>
      <c r="S64" s="10" t="n">
        <v>0.126738537255314</v>
      </c>
      <c r="T64" s="11" t="s">
        <v>35</v>
      </c>
      <c r="U64" s="11" t="s">
        <v>235</v>
      </c>
      <c r="V64" s="8" t="s">
        <v>47</v>
      </c>
      <c r="W64" s="12" t="n">
        <v>402.87</v>
      </c>
      <c r="X64" s="12" t="n">
        <v>634.9</v>
      </c>
      <c r="Y64" s="10" t="n">
        <f aca="false">IF(AND(ISNUMBER(W64),ISNUMBER(X64)),X64/W64-1,"")</f>
        <v>0.575942611760618</v>
      </c>
      <c r="Z64" s="10" t="n">
        <v>0.577284690870638</v>
      </c>
      <c r="AA64" s="10" t="n">
        <v>0.21067902524441</v>
      </c>
      <c r="AB64" s="8"/>
      <c r="AC64" s="10" t="n">
        <f aca="false">IF(AND(ISNUMBER(N64),ISNUMBER(AA64)),N64-AA64,"")</f>
        <v>0.200362924069978</v>
      </c>
    </row>
    <row r="65" customFormat="false" ht="15" hidden="false" customHeight="false" outlineLevel="0" collapsed="false">
      <c r="A65" s="8" t="s">
        <v>236</v>
      </c>
      <c r="B65" s="8" t="s">
        <v>237</v>
      </c>
      <c r="C65" s="8" t="s">
        <v>31</v>
      </c>
      <c r="D65" s="9" t="n">
        <v>804.905</v>
      </c>
      <c r="E65" s="9" t="n">
        <v>663.411</v>
      </c>
      <c r="F65" s="9" t="n">
        <v>725.607</v>
      </c>
      <c r="G65" s="9" t="n">
        <v>584.911</v>
      </c>
      <c r="H65" s="9" t="n">
        <v>499.627</v>
      </c>
      <c r="I65" s="9" t="n">
        <v>231.716</v>
      </c>
      <c r="J65" s="9" t="n">
        <v>182.912</v>
      </c>
      <c r="K65" s="9" t="n">
        <v>231.828</v>
      </c>
      <c r="L65" s="9" t="n">
        <v>138.542</v>
      </c>
      <c r="M65" s="9" t="n">
        <v>67.711</v>
      </c>
      <c r="N65" s="10" t="n">
        <v>0.611011814813851</v>
      </c>
      <c r="O65" s="10" t="n">
        <v>2.42213229755874</v>
      </c>
      <c r="P65" s="10" t="n">
        <v>0.213282565408171</v>
      </c>
      <c r="Q65" s="10" t="n">
        <v>-0.0857158213743804</v>
      </c>
      <c r="R65" s="10" t="n">
        <v>0.240542578272592</v>
      </c>
      <c r="S65" s="10" t="n">
        <v>0.170695338722687</v>
      </c>
      <c r="T65" s="11" t="s">
        <v>35</v>
      </c>
      <c r="U65" s="11" t="s">
        <v>238</v>
      </c>
      <c r="V65" s="8" t="s">
        <v>76</v>
      </c>
      <c r="W65" s="12" t="n">
        <v>235.69</v>
      </c>
      <c r="X65" s="12" t="n">
        <v>151.98</v>
      </c>
      <c r="Y65" s="10" t="n">
        <f aca="false">IF(AND(ISNUMBER(W65),ISNUMBER(X65)),X65/W65-1,"")</f>
        <v>-0.355169926598498</v>
      </c>
      <c r="Z65" s="10" t="n">
        <v>-0.355169951405461</v>
      </c>
      <c r="AA65" s="10" t="n">
        <v>0.776868527369979</v>
      </c>
      <c r="AB65" s="11" t="s">
        <v>35</v>
      </c>
      <c r="AC65" s="10" t="n">
        <f aca="false">IF(AND(ISNUMBER(N65),ISNUMBER(AA65)),N65-AA65,"")</f>
        <v>-0.165856712556127</v>
      </c>
    </row>
    <row r="66" customFormat="false" ht="15" hidden="false" customHeight="false" outlineLevel="0" collapsed="false">
      <c r="A66" s="8" t="s">
        <v>239</v>
      </c>
      <c r="B66" s="8" t="s">
        <v>240</v>
      </c>
      <c r="C66" s="8" t="s">
        <v>31</v>
      </c>
      <c r="D66" s="9" t="n">
        <v>17672</v>
      </c>
      <c r="E66" s="9" t="n">
        <v>14608</v>
      </c>
      <c r="F66" s="9" t="n">
        <v>15396</v>
      </c>
      <c r="G66" s="9" t="n">
        <v>15225</v>
      </c>
      <c r="H66" s="9" t="n">
        <v>15236</v>
      </c>
      <c r="I66" s="9" t="n">
        <v>951</v>
      </c>
      <c r="J66" s="9" t="n">
        <v>608</v>
      </c>
      <c r="K66" s="9" t="n">
        <v>1376</v>
      </c>
      <c r="L66" s="9" t="n">
        <v>1321</v>
      </c>
      <c r="M66" s="9" t="n">
        <v>1772</v>
      </c>
      <c r="N66" s="10" t="n">
        <v>0.159884484116566</v>
      </c>
      <c r="O66" s="10" t="n">
        <v>-0.463318284424379</v>
      </c>
      <c r="P66" s="10" t="n">
        <v>0.209748083242059</v>
      </c>
      <c r="Q66" s="10" t="n">
        <v>-0.0511821252273318</v>
      </c>
      <c r="R66" s="10" t="n">
        <v>0.0112315270935961</v>
      </c>
      <c r="S66" s="10" t="n">
        <v>-0.000721974271462367</v>
      </c>
      <c r="T66" s="11" t="s">
        <v>35</v>
      </c>
      <c r="U66" s="11" t="s">
        <v>241</v>
      </c>
      <c r="V66" s="8" t="s">
        <v>47</v>
      </c>
      <c r="W66" s="12" t="n">
        <v>101.39</v>
      </c>
      <c r="X66" s="12" t="n">
        <v>110.72</v>
      </c>
      <c r="Y66" s="10" t="n">
        <f aca="false">IF(AND(ISNUMBER(W66),ISNUMBER(X66)),X66/W66-1,"")</f>
        <v>0.0920209093598974</v>
      </c>
      <c r="Z66" s="10" t="n">
        <v>0.0920209279733681</v>
      </c>
      <c r="AA66" s="10" t="n">
        <v>0.016682236754304</v>
      </c>
      <c r="AB66" s="11" t="s">
        <v>35</v>
      </c>
      <c r="AC66" s="10" t="n">
        <f aca="false">IF(AND(ISNUMBER(N66),ISNUMBER(AA66)),N66-AA66,"")</f>
        <v>0.143202247362262</v>
      </c>
    </row>
    <row r="67" customFormat="false" ht="15" hidden="false" customHeight="false" outlineLevel="0" collapsed="false">
      <c r="A67" s="8" t="s">
        <v>242</v>
      </c>
      <c r="B67" s="8" t="s">
        <v>243</v>
      </c>
      <c r="C67" s="8" t="s">
        <v>65</v>
      </c>
      <c r="D67" s="9" t="n">
        <v>7939.872</v>
      </c>
      <c r="E67" s="9" t="n">
        <v>6619.476</v>
      </c>
      <c r="F67" s="9" t="n">
        <v>9367.609</v>
      </c>
      <c r="G67" s="9" t="n">
        <v>8810.278</v>
      </c>
      <c r="H67" s="9" t="n">
        <v>8377.502</v>
      </c>
      <c r="I67" s="9" t="n">
        <v>418.815</v>
      </c>
      <c r="J67" s="9" t="n">
        <v>233.064</v>
      </c>
      <c r="K67" s="9" t="n">
        <v>666.959</v>
      </c>
      <c r="L67" s="9" t="n">
        <v>721.198</v>
      </c>
      <c r="M67" s="9" t="n">
        <v>648.577</v>
      </c>
      <c r="N67" s="10" t="n">
        <v>-0.0522387222348619</v>
      </c>
      <c r="O67" s="10" t="n">
        <v>-0.354255547143978</v>
      </c>
      <c r="P67" s="10" t="n">
        <v>0.199471378096997</v>
      </c>
      <c r="Q67" s="10" t="n">
        <v>-0.2933654681787</v>
      </c>
      <c r="R67" s="10" t="n">
        <v>0.0632591843299384</v>
      </c>
      <c r="S67" s="10" t="n">
        <v>0.0516593132415844</v>
      </c>
      <c r="T67" s="11" t="s">
        <v>35</v>
      </c>
      <c r="U67" s="11" t="s">
        <v>244</v>
      </c>
      <c r="V67" s="8" t="s">
        <v>43</v>
      </c>
      <c r="W67" s="12" t="n">
        <v>125.69</v>
      </c>
      <c r="X67" s="12" t="n">
        <v>81.52</v>
      </c>
      <c r="Y67" s="10" t="n">
        <f aca="false">IF(AND(ISNUMBER(W67),ISNUMBER(X67)),X67/W67-1,"")</f>
        <v>-0.351420160712865</v>
      </c>
      <c r="Z67" s="10" t="n">
        <v>-0.338360580293974</v>
      </c>
      <c r="AA67" s="10" t="n">
        <v>-0.0442742486759594</v>
      </c>
      <c r="AB67" s="8"/>
      <c r="AC67" s="10" t="n">
        <f aca="false">IF(AND(ISNUMBER(N67),ISNUMBER(AA67)),N67-AA67,"")</f>
        <v>-0.0079644735589025</v>
      </c>
    </row>
    <row r="68" customFormat="false" ht="15" hidden="false" customHeight="false" outlineLevel="0" collapsed="false">
      <c r="A68" s="8" t="s">
        <v>245</v>
      </c>
      <c r="B68" s="8" t="s">
        <v>246</v>
      </c>
      <c r="C68" s="8" t="s">
        <v>31</v>
      </c>
      <c r="D68" s="9" t="n">
        <v>6789.3</v>
      </c>
      <c r="E68" s="9" t="n">
        <v>5666.9</v>
      </c>
      <c r="F68" s="9" t="n">
        <v>5595.9</v>
      </c>
      <c r="G68" s="9" t="n">
        <v>6358.2</v>
      </c>
      <c r="H68" s="9" t="n">
        <v>6314.5</v>
      </c>
      <c r="I68" s="9" t="n">
        <v>1231</v>
      </c>
      <c r="J68" s="9" t="n">
        <v>802.7</v>
      </c>
      <c r="K68" s="9" t="n">
        <v>789.7</v>
      </c>
      <c r="L68" s="9" t="n">
        <v>1153.6</v>
      </c>
      <c r="M68" s="9" t="n">
        <v>1099.1</v>
      </c>
      <c r="N68" s="10" t="n">
        <v>0.0751920183704173</v>
      </c>
      <c r="O68" s="10" t="n">
        <v>0.120007278682559</v>
      </c>
      <c r="P68" s="10" t="n">
        <v>0.198062432723358</v>
      </c>
      <c r="Q68" s="10" t="n">
        <v>0.0126878607551957</v>
      </c>
      <c r="R68" s="10" t="n">
        <v>-0.119892422383694</v>
      </c>
      <c r="S68" s="10" t="n">
        <v>0.0069205796183387</v>
      </c>
      <c r="T68" s="11" t="s">
        <v>35</v>
      </c>
      <c r="U68" s="11" t="s">
        <v>247</v>
      </c>
      <c r="V68" s="8" t="s">
        <v>104</v>
      </c>
      <c r="W68" s="12" t="n">
        <v>342.96</v>
      </c>
      <c r="X68" s="12" t="n">
        <v>326.46</v>
      </c>
      <c r="Y68" s="10" t="n">
        <f aca="false">IF(AND(ISNUMBER(W68),ISNUMBER(X68)),X68/W68-1,"")</f>
        <v>-0.048110566829951</v>
      </c>
      <c r="Z68" s="10" t="n">
        <v>-0.0390810303264016</v>
      </c>
      <c r="AA68" s="10" t="n">
        <v>0.00685641393605985</v>
      </c>
      <c r="AB68" s="11" t="s">
        <v>35</v>
      </c>
      <c r="AC68" s="10" t="n">
        <f aca="false">IF(AND(ISNUMBER(N68),ISNUMBER(AA68)),N68-AA68,"")</f>
        <v>0.0683356044343575</v>
      </c>
    </row>
    <row r="69" customFormat="false" ht="15" hidden="false" customHeight="false" outlineLevel="0" collapsed="false">
      <c r="A69" s="8" t="s">
        <v>248</v>
      </c>
      <c r="B69" s="8" t="s">
        <v>249</v>
      </c>
      <c r="C69" s="8" t="s">
        <v>31</v>
      </c>
      <c r="D69" s="9" t="n">
        <v>4290.7</v>
      </c>
      <c r="E69" s="9" t="n">
        <v>3605.4</v>
      </c>
      <c r="F69" s="9" t="n">
        <v>3884.3</v>
      </c>
      <c r="G69" s="9" t="n">
        <v>3754.3</v>
      </c>
      <c r="H69" s="9" t="n">
        <v>3675.6</v>
      </c>
      <c r="I69" s="9" t="n">
        <v>1420.5</v>
      </c>
      <c r="J69" s="9" t="n">
        <v>744.8</v>
      </c>
      <c r="K69" s="9" t="n">
        <v>898.6</v>
      </c>
      <c r="L69" s="9" t="n">
        <v>1109.9</v>
      </c>
      <c r="M69" s="9" t="n">
        <v>1079.5</v>
      </c>
      <c r="N69" s="10" t="n">
        <v>0.167346827728806</v>
      </c>
      <c r="O69" s="10" t="n">
        <v>0.315886984715146</v>
      </c>
      <c r="P69" s="10" t="n">
        <v>0.190075997115438</v>
      </c>
      <c r="Q69" s="10" t="n">
        <v>-0.0718018690626368</v>
      </c>
      <c r="R69" s="10" t="n">
        <v>0.034626961084623</v>
      </c>
      <c r="S69" s="10" t="n">
        <v>0.0214114702361519</v>
      </c>
      <c r="T69" s="11" t="s">
        <v>35</v>
      </c>
      <c r="U69" s="11" t="s">
        <v>250</v>
      </c>
      <c r="V69" s="8" t="s">
        <v>147</v>
      </c>
      <c r="W69" s="12" t="n">
        <v>576.98</v>
      </c>
      <c r="X69" s="12" t="n">
        <v>801.82</v>
      </c>
      <c r="Y69" s="10" t="n">
        <f aca="false">IF(AND(ISNUMBER(W69),ISNUMBER(X69)),X69/W69-1,"")</f>
        <v>0.389684217823841</v>
      </c>
      <c r="Z69" s="10" t="n">
        <v>0.396810296806607</v>
      </c>
      <c r="AA69" s="10" t="n">
        <v>0.036226776803586</v>
      </c>
      <c r="AB69" s="11" t="s">
        <v>35</v>
      </c>
      <c r="AC69" s="10" t="n">
        <f aca="false">IF(AND(ISNUMBER(N69),ISNUMBER(AA69)),N69-AA69,"")</f>
        <v>0.13112005092522</v>
      </c>
    </row>
    <row r="70" customFormat="false" ht="15" hidden="false" customHeight="false" outlineLevel="0" collapsed="false">
      <c r="A70" s="8" t="s">
        <v>251</v>
      </c>
      <c r="B70" s="8" t="s">
        <v>252</v>
      </c>
      <c r="C70" s="8" t="s">
        <v>31</v>
      </c>
      <c r="D70" s="9" t="n">
        <v>1078.576</v>
      </c>
      <c r="E70" s="9" t="n">
        <v>906.424</v>
      </c>
      <c r="F70" s="9" t="n">
        <v>912.913</v>
      </c>
      <c r="G70" s="9" t="n">
        <v>1026.106</v>
      </c>
      <c r="H70" s="9" t="n">
        <v>999.527</v>
      </c>
      <c r="I70" s="9" t="n">
        <v>201.359</v>
      </c>
      <c r="J70" s="9" t="n">
        <v>145.486</v>
      </c>
      <c r="K70" s="9" t="n">
        <v>160.066</v>
      </c>
      <c r="L70" s="9" t="n">
        <v>225.021</v>
      </c>
      <c r="M70" s="9" t="n">
        <v>198.333</v>
      </c>
      <c r="N70" s="10" t="n">
        <v>0.079086407870923</v>
      </c>
      <c r="O70" s="10" t="n">
        <v>0.0152571684994429</v>
      </c>
      <c r="P70" s="10" t="n">
        <v>0.189924362108682</v>
      </c>
      <c r="Q70" s="10" t="n">
        <v>-0.00710801576930109</v>
      </c>
      <c r="R70" s="10" t="n">
        <v>-0.110313164526862</v>
      </c>
      <c r="S70" s="10" t="n">
        <v>0.0265915778163071</v>
      </c>
      <c r="T70" s="11" t="s">
        <v>35</v>
      </c>
      <c r="U70" s="11" t="s">
        <v>253</v>
      </c>
      <c r="V70" s="8" t="s">
        <v>47</v>
      </c>
      <c r="W70" s="12" t="n">
        <v>56.11</v>
      </c>
      <c r="X70" s="12" t="n">
        <v>32.49</v>
      </c>
      <c r="Y70" s="10" t="n">
        <f aca="false">IF(AND(ISNUMBER(W70),ISNUMBER(X70)),X70/W70-1,"")</f>
        <v>-0.420958830867938</v>
      </c>
      <c r="Z70" s="10" t="n">
        <v>-0.412547220233673</v>
      </c>
      <c r="AA70" s="10" t="n">
        <v>0.120646470535474</v>
      </c>
      <c r="AB70" s="11" t="s">
        <v>35</v>
      </c>
      <c r="AC70" s="10" t="n">
        <f aca="false">IF(AND(ISNUMBER(N70),ISNUMBER(AA70)),N70-AA70,"")</f>
        <v>-0.0415600626645509</v>
      </c>
    </row>
    <row r="71" customFormat="false" ht="15" hidden="false" customHeight="false" outlineLevel="0" collapsed="false">
      <c r="A71" s="8" t="s">
        <v>254</v>
      </c>
      <c r="B71" s="8" t="s">
        <v>255</v>
      </c>
      <c r="C71" s="8" t="s">
        <v>31</v>
      </c>
      <c r="D71" s="9" t="n">
        <v>11104</v>
      </c>
      <c r="E71" s="9" t="n">
        <v>9338</v>
      </c>
      <c r="F71" s="9" t="n">
        <v>10956</v>
      </c>
      <c r="G71" s="9" t="n">
        <v>9969</v>
      </c>
      <c r="H71" s="9" t="n">
        <v>9111</v>
      </c>
      <c r="I71" s="9" t="n">
        <v>655</v>
      </c>
      <c r="J71" s="9" t="n">
        <v>179</v>
      </c>
      <c r="K71" s="9" t="n">
        <v>602</v>
      </c>
      <c r="L71" s="9" t="n">
        <v>367</v>
      </c>
      <c r="M71" s="9" t="n">
        <v>379</v>
      </c>
      <c r="N71" s="10" t="n">
        <v>0.218746570080123</v>
      </c>
      <c r="O71" s="10" t="n">
        <v>0.728232189973615</v>
      </c>
      <c r="P71" s="10" t="n">
        <v>0.18911972585136</v>
      </c>
      <c r="Q71" s="10" t="n">
        <v>-0.147681635633443</v>
      </c>
      <c r="R71" s="10" t="n">
        <v>0.0990069214565152</v>
      </c>
      <c r="S71" s="10" t="n">
        <v>0.0941718801448799</v>
      </c>
      <c r="T71" s="11" t="s">
        <v>35</v>
      </c>
      <c r="U71" s="11" t="s">
        <v>256</v>
      </c>
      <c r="V71" s="8" t="s">
        <v>47</v>
      </c>
      <c r="W71" s="12" t="n">
        <v>628.97</v>
      </c>
      <c r="X71" s="12" t="n">
        <v>951.82</v>
      </c>
      <c r="Y71" s="10" t="n">
        <f aca="false">IF(AND(ISNUMBER(W71),ISNUMBER(X71)),X71/W71-1,"")</f>
        <v>0.513299521439814</v>
      </c>
      <c r="Z71" s="10" t="n">
        <v>0.516735757070476</v>
      </c>
      <c r="AA71" s="10" t="n">
        <v>0.110555826426134</v>
      </c>
      <c r="AB71" s="11" t="s">
        <v>35</v>
      </c>
      <c r="AC71" s="10" t="n">
        <f aca="false">IF(AND(ISNUMBER(N71),ISNUMBER(AA71)),N71-AA71,"")</f>
        <v>0.10819074365399</v>
      </c>
    </row>
    <row r="72" customFormat="false" ht="15" hidden="false" customHeight="false" outlineLevel="0" collapsed="false">
      <c r="A72" s="8" t="s">
        <v>257</v>
      </c>
      <c r="B72" s="8" t="s">
        <v>258</v>
      </c>
      <c r="C72" s="8" t="s">
        <v>31</v>
      </c>
      <c r="D72" s="9" t="n">
        <v>6351</v>
      </c>
      <c r="E72" s="9" t="n">
        <v>5341</v>
      </c>
      <c r="F72" s="9" t="n">
        <v>4837</v>
      </c>
      <c r="G72" s="9" t="n">
        <v>5579</v>
      </c>
      <c r="H72" s="9" t="n">
        <v>6113</v>
      </c>
      <c r="I72" s="9" t="n">
        <v>770</v>
      </c>
      <c r="J72" s="9" t="n">
        <v>240</v>
      </c>
      <c r="K72" s="9" t="n">
        <v>54</v>
      </c>
      <c r="L72" s="9" t="n">
        <v>495</v>
      </c>
      <c r="M72" s="9" t="n">
        <v>795</v>
      </c>
      <c r="N72" s="10" t="n">
        <v>0.0389334205790937</v>
      </c>
      <c r="O72" s="10" t="n">
        <v>-0.0314465408805031</v>
      </c>
      <c r="P72" s="10" t="n">
        <v>0.18910316420146</v>
      </c>
      <c r="Q72" s="10" t="n">
        <v>0.104196816208394</v>
      </c>
      <c r="R72" s="10" t="n">
        <v>-0.132998745294856</v>
      </c>
      <c r="S72" s="10" t="n">
        <v>-0.0873548176018322</v>
      </c>
      <c r="T72" s="11" t="s">
        <v>35</v>
      </c>
      <c r="U72" s="11" t="s">
        <v>259</v>
      </c>
      <c r="V72" s="8" t="s">
        <v>47</v>
      </c>
      <c r="W72" s="12" t="n">
        <v>58.99</v>
      </c>
      <c r="X72" s="12" t="n">
        <v>55.1</v>
      </c>
      <c r="Y72" s="10" t="n">
        <f aca="false">IF(AND(ISNUMBER(W72),ISNUMBER(X72)),X72/W72-1,"")</f>
        <v>-0.065943380233938</v>
      </c>
      <c r="Z72" s="10" t="n">
        <v>-0.051577325738143</v>
      </c>
      <c r="AA72" s="10" t="n">
        <v>0.0301651499831479</v>
      </c>
      <c r="AB72" s="11" t="s">
        <v>35</v>
      </c>
      <c r="AC72" s="10" t="n">
        <f aca="false">IF(AND(ISNUMBER(N72),ISNUMBER(AA72)),N72-AA72,"")</f>
        <v>0.00876827059594576</v>
      </c>
    </row>
    <row r="73" customFormat="false" ht="15" hidden="false" customHeight="false" outlineLevel="0" collapsed="false">
      <c r="A73" s="8" t="s">
        <v>260</v>
      </c>
      <c r="B73" s="8" t="s">
        <v>261</v>
      </c>
      <c r="C73" s="8" t="s">
        <v>31</v>
      </c>
      <c r="D73" s="9" t="n">
        <v>16128</v>
      </c>
      <c r="E73" s="9" t="n">
        <v>13577</v>
      </c>
      <c r="F73" s="9" t="n">
        <v>13674</v>
      </c>
      <c r="G73" s="9" t="n">
        <v>13653</v>
      </c>
      <c r="H73" s="9" t="n">
        <v>12859</v>
      </c>
      <c r="I73" s="9" t="n">
        <v>1966</v>
      </c>
      <c r="J73" s="9" t="n">
        <v>934</v>
      </c>
      <c r="K73" s="9" t="n">
        <v>550</v>
      </c>
      <c r="L73" s="9" t="n">
        <v>858</v>
      </c>
      <c r="M73" s="9" t="n">
        <v>-1286</v>
      </c>
      <c r="N73" s="10" t="n">
        <v>0.254218835057158</v>
      </c>
      <c r="O73" s="13" t="s">
        <v>110</v>
      </c>
      <c r="P73" s="10" t="n">
        <v>0.187891286734919</v>
      </c>
      <c r="Q73" s="10" t="n">
        <v>-0.00709375457071815</v>
      </c>
      <c r="R73" s="10" t="n">
        <v>0.00153812348934301</v>
      </c>
      <c r="S73" s="10" t="n">
        <v>0.0617466365969359</v>
      </c>
      <c r="T73" s="11" t="s">
        <v>35</v>
      </c>
      <c r="U73" s="8" t="s">
        <v>262</v>
      </c>
      <c r="V73" s="8" t="s">
        <v>34</v>
      </c>
      <c r="W73" s="12" t="n">
        <v>31.22</v>
      </c>
      <c r="X73" s="12" t="n">
        <v>122.6</v>
      </c>
      <c r="Y73" s="10" t="n">
        <f aca="false">IF(AND(ISNUMBER(W73),ISNUMBER(X73)),X73/W73-1,"")</f>
        <v>2.92696989109545</v>
      </c>
      <c r="Z73" s="10" t="n">
        <v>2.92696992858928</v>
      </c>
      <c r="AA73" s="10" t="n">
        <v>0.00202602665004292</v>
      </c>
      <c r="AB73" s="8"/>
      <c r="AC73" s="10" t="n">
        <f aca="false">IF(AND(ISNUMBER(N73),ISNUMBER(AA73)),N73-AA73,"")</f>
        <v>0.252192808407116</v>
      </c>
    </row>
    <row r="74" customFormat="false" ht="15" hidden="false" customHeight="false" outlineLevel="0" collapsed="false">
      <c r="A74" s="8" t="s">
        <v>263</v>
      </c>
      <c r="B74" s="8" t="s">
        <v>264</v>
      </c>
      <c r="C74" s="8" t="s">
        <v>31</v>
      </c>
      <c r="D74" s="9" t="n">
        <v>1935.464</v>
      </c>
      <c r="E74" s="9" t="n">
        <v>1632.583</v>
      </c>
      <c r="F74" s="9" t="n">
        <v>1406.802</v>
      </c>
      <c r="G74" s="9" t="n">
        <v>1181.092</v>
      </c>
      <c r="H74" s="9" t="n">
        <v>1003.697</v>
      </c>
      <c r="I74" s="9" t="n">
        <v>912.004</v>
      </c>
      <c r="J74" s="9" t="n">
        <v>753.998</v>
      </c>
      <c r="K74" s="9" t="n">
        <v>575.394</v>
      </c>
      <c r="L74" s="9" t="n">
        <v>393.256</v>
      </c>
      <c r="M74" s="9" t="n">
        <v>269.317</v>
      </c>
      <c r="N74" s="10" t="n">
        <v>0.928334945705726</v>
      </c>
      <c r="O74" s="10" t="n">
        <v>2.38635882621595</v>
      </c>
      <c r="P74" s="10" t="n">
        <v>0.185522573737446</v>
      </c>
      <c r="Q74" s="10" t="n">
        <v>0.160492379169208</v>
      </c>
      <c r="R74" s="10" t="n">
        <v>0.191102809941986</v>
      </c>
      <c r="S74" s="10" t="n">
        <v>0.176741586355245</v>
      </c>
      <c r="T74" s="11" t="s">
        <v>35</v>
      </c>
      <c r="U74" s="11" t="s">
        <v>265</v>
      </c>
      <c r="V74" s="8" t="s">
        <v>34</v>
      </c>
      <c r="W74" s="12" t="n">
        <v>179.56</v>
      </c>
      <c r="X74" s="12" t="n">
        <v>191.79</v>
      </c>
      <c r="Y74" s="10" t="n">
        <f aca="false">IF(AND(ISNUMBER(W74),ISNUMBER(X74)),X74/W74-1,"")</f>
        <v>0.0681109378480731</v>
      </c>
      <c r="Z74" s="10" t="n">
        <v>0.0681109149800929</v>
      </c>
      <c r="AA74" s="10" t="n">
        <v>0.480086531570457</v>
      </c>
      <c r="AB74" s="11" t="s">
        <v>35</v>
      </c>
      <c r="AC74" s="10" t="n">
        <f aca="false">IF(AND(ISNUMBER(N74),ISNUMBER(AA74)),N74-AA74,"")</f>
        <v>0.448248414135269</v>
      </c>
    </row>
    <row r="75" customFormat="false" ht="15" hidden="false" customHeight="false" outlineLevel="0" collapsed="false">
      <c r="A75" s="8" t="s">
        <v>266</v>
      </c>
      <c r="B75" s="8" t="s">
        <v>267</v>
      </c>
      <c r="C75" s="8" t="s">
        <v>31</v>
      </c>
      <c r="D75" s="9" t="n">
        <v>2532</v>
      </c>
      <c r="E75" s="9" t="n">
        <v>2137</v>
      </c>
      <c r="F75" s="9" t="n">
        <v>2124</v>
      </c>
      <c r="G75" s="9" t="n">
        <v>1958</v>
      </c>
      <c r="H75" s="9" t="n">
        <v>2101</v>
      </c>
      <c r="I75" s="9" t="n">
        <v>731</v>
      </c>
      <c r="J75" s="9" t="n">
        <v>672</v>
      </c>
      <c r="K75" s="9" t="n">
        <v>651</v>
      </c>
      <c r="L75" s="9" t="n">
        <v>607</v>
      </c>
      <c r="M75" s="9" t="n">
        <v>597</v>
      </c>
      <c r="N75" s="10" t="n">
        <v>0.205140409328891</v>
      </c>
      <c r="O75" s="10" t="n">
        <v>0.224455611390285</v>
      </c>
      <c r="P75" s="10" t="n">
        <v>0.184838558727188</v>
      </c>
      <c r="Q75" s="10" t="n">
        <v>0.00612052730696799</v>
      </c>
      <c r="R75" s="10" t="n">
        <v>0.0847803881511746</v>
      </c>
      <c r="S75" s="10" t="n">
        <v>-0.0680628272251309</v>
      </c>
      <c r="T75" s="11" t="s">
        <v>35</v>
      </c>
      <c r="U75" s="11" t="s">
        <v>268</v>
      </c>
      <c r="V75" s="8" t="s">
        <v>51</v>
      </c>
      <c r="W75" s="12" t="n">
        <v>87.15</v>
      </c>
      <c r="X75" s="12" t="n">
        <v>95.44</v>
      </c>
      <c r="Y75" s="10" t="n">
        <f aca="false">IF(AND(ISNUMBER(W75),ISNUMBER(X75)),X75/W75-1,"")</f>
        <v>0.0951233505450373</v>
      </c>
      <c r="Z75" s="10" t="n">
        <v>0.109576998733472</v>
      </c>
      <c r="AA75" s="10" t="n">
        <v>0.166294642857143</v>
      </c>
      <c r="AB75" s="8"/>
      <c r="AC75" s="10" t="n">
        <f aca="false">IF(AND(ISNUMBER(N75),ISNUMBER(AA75)),N75-AA75,"")</f>
        <v>0.0388457664717483</v>
      </c>
    </row>
    <row r="76" customFormat="false" ht="15" hidden="false" customHeight="false" outlineLevel="0" collapsed="false">
      <c r="A76" s="8" t="s">
        <v>269</v>
      </c>
      <c r="B76" s="8" t="s">
        <v>270</v>
      </c>
      <c r="C76" s="8" t="s">
        <v>132</v>
      </c>
      <c r="D76" s="9" t="n">
        <v>7620.1</v>
      </c>
      <c r="E76" s="9" t="n">
        <v>6439</v>
      </c>
      <c r="F76" s="9" t="n">
        <v>6194.4</v>
      </c>
      <c r="G76" s="9" t="n">
        <v>5650.3</v>
      </c>
      <c r="H76" s="9" t="n">
        <v>4811</v>
      </c>
      <c r="I76" s="9" t="n">
        <v>1948.7</v>
      </c>
      <c r="J76" s="9" t="n">
        <v>1770.1</v>
      </c>
      <c r="K76" s="9" t="n">
        <v>1702.3</v>
      </c>
      <c r="L76" s="9" t="n">
        <v>1430.8</v>
      </c>
      <c r="M76" s="9" t="n">
        <v>1068.8</v>
      </c>
      <c r="N76" s="10" t="n">
        <v>0.583891082934941</v>
      </c>
      <c r="O76" s="10" t="n">
        <v>0.823259730538922</v>
      </c>
      <c r="P76" s="10" t="n">
        <v>0.183429103898121</v>
      </c>
      <c r="Q76" s="10" t="n">
        <v>0.0394872788324938</v>
      </c>
      <c r="R76" s="10" t="n">
        <v>0.0962957719059165</v>
      </c>
      <c r="S76" s="10" t="n">
        <v>0.174454375389732</v>
      </c>
      <c r="T76" s="11" t="s">
        <v>35</v>
      </c>
      <c r="U76" s="11" t="s">
        <v>271</v>
      </c>
      <c r="V76" s="8" t="s">
        <v>34</v>
      </c>
      <c r="W76" s="12" t="n">
        <v>61.565</v>
      </c>
      <c r="X76" s="12" t="n">
        <v>82.19</v>
      </c>
      <c r="Y76" s="10" t="n">
        <f aca="false">IF(AND(ISNUMBER(W76),ISNUMBER(X76)),X76/W76-1,"")</f>
        <v>0.335011776171526</v>
      </c>
      <c r="Z76" s="10" t="n">
        <v>0.344333529440063</v>
      </c>
      <c r="AA76" s="10" t="n">
        <v>0.565310136576447</v>
      </c>
      <c r="AB76" s="11" t="s">
        <v>35</v>
      </c>
      <c r="AC76" s="10" t="n">
        <f aca="false">IF(AND(ISNUMBER(N76),ISNUMBER(AA76)),N76-AA76,"")</f>
        <v>0.0185809463584941</v>
      </c>
    </row>
    <row r="77" customFormat="false" ht="15" hidden="false" customHeight="false" outlineLevel="0" collapsed="false">
      <c r="A77" s="8" t="s">
        <v>272</v>
      </c>
      <c r="B77" s="8" t="s">
        <v>273</v>
      </c>
      <c r="C77" s="8" t="s">
        <v>31</v>
      </c>
      <c r="D77" s="9" t="n">
        <v>20338</v>
      </c>
      <c r="E77" s="9" t="n">
        <v>17227</v>
      </c>
      <c r="F77" s="9" t="n">
        <v>13454</v>
      </c>
      <c r="G77" s="9" t="n">
        <v>15184</v>
      </c>
      <c r="H77" s="9" t="n">
        <v>14583</v>
      </c>
      <c r="I77" s="8"/>
      <c r="J77" s="8"/>
      <c r="K77" s="8"/>
      <c r="L77" s="8"/>
      <c r="M77" s="8"/>
      <c r="N77" s="10" t="n">
        <v>0.394637591716382</v>
      </c>
      <c r="O77" s="8"/>
      <c r="P77" s="10" t="n">
        <v>0.180588610901492</v>
      </c>
      <c r="Q77" s="10" t="n">
        <v>0.280437044745057</v>
      </c>
      <c r="R77" s="10" t="n">
        <v>-0.113935721812434</v>
      </c>
      <c r="S77" s="10" t="n">
        <v>0.0412123705684702</v>
      </c>
      <c r="T77" s="11" t="s">
        <v>35</v>
      </c>
      <c r="U77" s="11" t="s">
        <v>274</v>
      </c>
      <c r="V77" s="8" t="s">
        <v>51</v>
      </c>
      <c r="W77" s="12" t="n">
        <v>792.43</v>
      </c>
      <c r="X77" s="12" t="n">
        <v>936.36</v>
      </c>
      <c r="Y77" s="10" t="n">
        <f aca="false">IF(AND(ISNUMBER(W77),ISNUMBER(X77)),X77/W77-1,"")</f>
        <v>0.181631185088904</v>
      </c>
      <c r="Z77" s="10" t="n">
        <v>0.204872007124939</v>
      </c>
      <c r="AA77" s="10" t="n">
        <v>0.14547168329275</v>
      </c>
      <c r="AB77" s="8"/>
      <c r="AC77" s="10" t="n">
        <f aca="false">IF(AND(ISNUMBER(N77),ISNUMBER(AA77)),N77-AA77,"")</f>
        <v>0.249165908423632</v>
      </c>
    </row>
    <row r="78" customFormat="false" ht="15" hidden="false" customHeight="false" outlineLevel="0" collapsed="false">
      <c r="A78" s="8" t="s">
        <v>275</v>
      </c>
      <c r="B78" s="8" t="s">
        <v>276</v>
      </c>
      <c r="C78" s="8" t="s">
        <v>31</v>
      </c>
      <c r="D78" s="9" t="n">
        <v>20543</v>
      </c>
      <c r="E78" s="9" t="n">
        <v>17415</v>
      </c>
      <c r="F78" s="9" t="n">
        <v>19133</v>
      </c>
      <c r="G78" s="9" t="n">
        <v>17638</v>
      </c>
      <c r="H78" s="9" t="n">
        <v>16569</v>
      </c>
      <c r="I78" s="9" t="n">
        <v>4295</v>
      </c>
      <c r="J78" s="9" t="n">
        <v>3085</v>
      </c>
      <c r="K78" s="9" t="n">
        <v>2660</v>
      </c>
      <c r="L78" s="9" t="n">
        <v>3052</v>
      </c>
      <c r="M78" s="9" t="n">
        <v>2860</v>
      </c>
      <c r="N78" s="10" t="n">
        <v>0.239845494598346</v>
      </c>
      <c r="O78" s="10" t="n">
        <v>0.501748251748252</v>
      </c>
      <c r="P78" s="10" t="n">
        <v>0.179615274188918</v>
      </c>
      <c r="Q78" s="10" t="n">
        <v>-0.0897925050959076</v>
      </c>
      <c r="R78" s="10" t="n">
        <v>0.084760176890804</v>
      </c>
      <c r="S78" s="10" t="n">
        <v>0.06451807592492</v>
      </c>
      <c r="T78" s="11" t="s">
        <v>35</v>
      </c>
      <c r="U78" s="11" t="s">
        <v>277</v>
      </c>
      <c r="V78" s="8" t="s">
        <v>47</v>
      </c>
      <c r="W78" s="12" t="n">
        <v>469.79</v>
      </c>
      <c r="X78" s="12" t="n">
        <v>812.02</v>
      </c>
      <c r="Y78" s="10" t="n">
        <f aca="false">IF(AND(ISNUMBER(W78),ISNUMBER(X78)),X78/W78-1,"")</f>
        <v>0.72847442474297</v>
      </c>
      <c r="Z78" s="10" t="n">
        <v>0.744033572565259</v>
      </c>
      <c r="AA78" s="10" t="n">
        <v>-0.00719036491101921</v>
      </c>
      <c r="AB78" s="11" t="s">
        <v>35</v>
      </c>
      <c r="AC78" s="10" t="n">
        <f aca="false">IF(AND(ISNUMBER(N78),ISNUMBER(AA78)),N78-AA78,"")</f>
        <v>0.247035859509366</v>
      </c>
    </row>
    <row r="79" customFormat="false" ht="15" hidden="false" customHeight="false" outlineLevel="0" collapsed="false">
      <c r="A79" s="8" t="s">
        <v>278</v>
      </c>
      <c r="B79" s="8" t="s">
        <v>279</v>
      </c>
      <c r="C79" s="8" t="s">
        <v>38</v>
      </c>
      <c r="D79" s="9" t="n">
        <v>96221</v>
      </c>
      <c r="E79" s="9" t="n">
        <v>81615</v>
      </c>
      <c r="F79" s="9" t="n">
        <v>68127</v>
      </c>
      <c r="G79" s="9" t="n">
        <v>57006</v>
      </c>
      <c r="H79" s="9" t="n">
        <v>46743</v>
      </c>
      <c r="I79" s="9" t="n">
        <v>63734</v>
      </c>
      <c r="J79" s="9" t="n">
        <v>53536</v>
      </c>
      <c r="K79" s="9" t="n">
        <v>44299</v>
      </c>
      <c r="L79" s="9" t="n">
        <v>36010</v>
      </c>
      <c r="M79" s="9" t="n">
        <v>28440</v>
      </c>
      <c r="N79" s="10" t="n">
        <v>1.05851143486725</v>
      </c>
      <c r="O79" s="10" t="n">
        <v>1.24099859353024</v>
      </c>
      <c r="P79" s="10" t="n">
        <v>0.178962200575875</v>
      </c>
      <c r="Q79" s="10" t="n">
        <v>0.197983178475494</v>
      </c>
      <c r="R79" s="10" t="n">
        <v>0.195084727923377</v>
      </c>
      <c r="S79" s="10" t="n">
        <v>0.219562287401322</v>
      </c>
      <c r="T79" s="11" t="s">
        <v>35</v>
      </c>
      <c r="U79" s="8" t="s">
        <v>280</v>
      </c>
      <c r="V79" s="8" t="s">
        <v>34</v>
      </c>
      <c r="W79" s="12" t="n">
        <v>176.97</v>
      </c>
      <c r="X79" s="12" t="n">
        <v>225.51</v>
      </c>
      <c r="Y79" s="10" t="n">
        <f aca="false">IF(AND(ISNUMBER(W79),ISNUMBER(X79)),X79/W79-1,"")</f>
        <v>0.274283776911341</v>
      </c>
      <c r="Z79" s="10" t="n">
        <v>0.277336682400784</v>
      </c>
      <c r="AA79" s="10" t="n">
        <v>0.556025299600533</v>
      </c>
      <c r="AB79" s="8"/>
      <c r="AC79" s="10" t="n">
        <f aca="false">IF(AND(ISNUMBER(N79),ISNUMBER(AA79)),N79-AA79,"")</f>
        <v>0.502486135266721</v>
      </c>
    </row>
    <row r="80" customFormat="false" ht="15" hidden="false" customHeight="false" outlineLevel="0" collapsed="false">
      <c r="A80" s="8" t="s">
        <v>281</v>
      </c>
      <c r="B80" s="8" t="s">
        <v>282</v>
      </c>
      <c r="C80" s="8" t="s">
        <v>31</v>
      </c>
      <c r="D80" s="9" t="n">
        <v>8751</v>
      </c>
      <c r="E80" s="9" t="n">
        <v>7472</v>
      </c>
      <c r="F80" s="9" t="n">
        <v>8169</v>
      </c>
      <c r="G80" s="9" t="n">
        <v>8497</v>
      </c>
      <c r="H80" s="9" t="n">
        <v>7621</v>
      </c>
      <c r="I80" s="9" t="n">
        <v>895</v>
      </c>
      <c r="J80" s="9" t="n">
        <v>614</v>
      </c>
      <c r="K80" s="9" t="n">
        <v>771</v>
      </c>
      <c r="L80" s="9" t="n">
        <v>932</v>
      </c>
      <c r="M80" s="9" t="n">
        <v>676</v>
      </c>
      <c r="N80" s="10" t="n">
        <v>0.148274504658181</v>
      </c>
      <c r="O80" s="10" t="n">
        <v>0.32396449704142</v>
      </c>
      <c r="P80" s="10" t="n">
        <v>0.171172376873662</v>
      </c>
      <c r="Q80" s="10" t="n">
        <v>-0.0853225609009671</v>
      </c>
      <c r="R80" s="10" t="n">
        <v>-0.0386018594798164</v>
      </c>
      <c r="S80" s="10" t="n">
        <v>0.114945545204042</v>
      </c>
      <c r="T80" s="11" t="s">
        <v>35</v>
      </c>
      <c r="U80" s="11" t="s">
        <v>283</v>
      </c>
      <c r="V80" s="8" t="s">
        <v>47</v>
      </c>
      <c r="W80" s="12" t="n">
        <v>226.44</v>
      </c>
      <c r="X80" s="12" t="n">
        <v>221.17</v>
      </c>
      <c r="Y80" s="10" t="n">
        <f aca="false">IF(AND(ISNUMBER(W80),ISNUMBER(X80)),X80/W80-1,"")</f>
        <v>-0.0232732732732733</v>
      </c>
      <c r="Z80" s="10" t="n">
        <v>-0.00455732439545864</v>
      </c>
      <c r="AA80" s="10" t="n">
        <v>0.0428297755883962</v>
      </c>
      <c r="AB80" s="11" t="s">
        <v>35</v>
      </c>
      <c r="AC80" s="10" t="n">
        <f aca="false">IF(AND(ISNUMBER(N80),ISNUMBER(AA80)),N80-AA80,"")</f>
        <v>0.105444729069785</v>
      </c>
    </row>
    <row r="81" customFormat="false" ht="15" hidden="false" customHeight="false" outlineLevel="0" collapsed="false">
      <c r="A81" s="8" t="s">
        <v>284</v>
      </c>
      <c r="B81" s="8" t="s">
        <v>285</v>
      </c>
      <c r="C81" s="8" t="s">
        <v>31</v>
      </c>
      <c r="D81" s="9" t="n">
        <v>6091.557</v>
      </c>
      <c r="E81" s="9" t="n">
        <v>5204.858</v>
      </c>
      <c r="F81" s="9" t="n">
        <v>4414.048</v>
      </c>
      <c r="G81" s="9" t="n">
        <v>4828.215</v>
      </c>
      <c r="H81" s="9" t="n">
        <v>4565.123</v>
      </c>
      <c r="I81" s="9" t="n">
        <v>757.793</v>
      </c>
      <c r="J81" s="9" t="n">
        <v>580.202</v>
      </c>
      <c r="K81" s="9" t="n">
        <v>337.426</v>
      </c>
      <c r="L81" s="9" t="n">
        <v>550.146</v>
      </c>
      <c r="M81" s="9" t="n">
        <v>413.561</v>
      </c>
      <c r="N81" s="10" t="n">
        <v>0.334368646803164</v>
      </c>
      <c r="O81" s="10" t="n">
        <v>0.83236088509313</v>
      </c>
      <c r="P81" s="10" t="n">
        <v>0.170359883016982</v>
      </c>
      <c r="Q81" s="10" t="n">
        <v>0.179157544276818</v>
      </c>
      <c r="R81" s="10" t="n">
        <v>-0.0857805627959816</v>
      </c>
      <c r="S81" s="10" t="n">
        <v>0.0576308677772757</v>
      </c>
      <c r="T81" s="11" t="s">
        <v>35</v>
      </c>
      <c r="U81" s="11" t="s">
        <v>286</v>
      </c>
      <c r="V81" s="8" t="s">
        <v>104</v>
      </c>
      <c r="W81" s="12" t="n">
        <v>136.37</v>
      </c>
      <c r="X81" s="12" t="n">
        <v>234.29</v>
      </c>
      <c r="Y81" s="10" t="n">
        <f aca="false">IF(AND(ISNUMBER(W81),ISNUMBER(X81)),X81/W81-1,"")</f>
        <v>0.718046491163746</v>
      </c>
      <c r="Z81" s="10" t="n">
        <v>0.738595920901871</v>
      </c>
      <c r="AA81" s="10" t="n">
        <v>-0.0145729189916579</v>
      </c>
      <c r="AB81" s="8"/>
      <c r="AC81" s="10" t="n">
        <f aca="false">IF(AND(ISNUMBER(N81),ISNUMBER(AA81)),N81-AA81,"")</f>
        <v>0.348941565794822</v>
      </c>
    </row>
    <row r="82" customFormat="false" ht="15" hidden="false" customHeight="false" outlineLevel="0" collapsed="false">
      <c r="A82" s="8" t="s">
        <v>287</v>
      </c>
      <c r="B82" s="8" t="s">
        <v>288</v>
      </c>
      <c r="C82" s="8" t="s">
        <v>31</v>
      </c>
      <c r="D82" s="9" t="n">
        <v>3982.957</v>
      </c>
      <c r="E82" s="9" t="n">
        <v>3408.572</v>
      </c>
      <c r="F82" s="9" t="n">
        <v>4610.748</v>
      </c>
      <c r="G82" s="9" t="n">
        <v>4404.799</v>
      </c>
      <c r="H82" s="9" t="n">
        <v>4403.755</v>
      </c>
      <c r="I82" s="9" t="n">
        <v>613.143</v>
      </c>
      <c r="J82" s="9" t="n">
        <v>440.36</v>
      </c>
      <c r="K82" s="9" t="n">
        <v>739.912</v>
      </c>
      <c r="L82" s="9" t="n">
        <v>761.31</v>
      </c>
      <c r="M82" s="9" t="n">
        <v>805.452</v>
      </c>
      <c r="N82" s="10" t="n">
        <v>-0.0955543621295917</v>
      </c>
      <c r="O82" s="10" t="n">
        <v>-0.238759106687922</v>
      </c>
      <c r="P82" s="10" t="n">
        <v>0.168511916427172</v>
      </c>
      <c r="Q82" s="10" t="n">
        <v>-0.260733399439744</v>
      </c>
      <c r="R82" s="10" t="n">
        <v>0.0467555954312557</v>
      </c>
      <c r="S82" s="10" t="n">
        <v>0.000237070409230267</v>
      </c>
      <c r="T82" s="11" t="s">
        <v>35</v>
      </c>
      <c r="U82" s="11" t="s">
        <v>244</v>
      </c>
      <c r="V82" s="8" t="s">
        <v>43</v>
      </c>
      <c r="W82" s="12" t="n">
        <v>130.9</v>
      </c>
      <c r="X82" s="12" t="n">
        <v>118.71</v>
      </c>
      <c r="Y82" s="10" t="n">
        <f aca="false">IF(AND(ISNUMBER(W82),ISNUMBER(X82)),X82/W82-1,"")</f>
        <v>-0.0931245225362873</v>
      </c>
      <c r="Z82" s="10" t="n">
        <v>-0.0853878794690303</v>
      </c>
      <c r="AA82" s="10"/>
      <c r="AB82" s="11" t="s">
        <v>35</v>
      </c>
      <c r="AC82" s="10" t="str">
        <f aca="false">IF(AND(ISNUMBER(N82),ISNUMBER(AA82)),N82-AA82,"")</f>
        <v/>
      </c>
    </row>
    <row r="83" customFormat="false" ht="15" hidden="false" customHeight="false" outlineLevel="0" collapsed="false">
      <c r="A83" s="8" t="s">
        <v>289</v>
      </c>
      <c r="B83" s="8" t="s">
        <v>290</v>
      </c>
      <c r="C83" s="8" t="s">
        <v>31</v>
      </c>
      <c r="D83" s="9" t="n">
        <v>10054</v>
      </c>
      <c r="E83" s="9" t="n">
        <v>8618</v>
      </c>
      <c r="F83" s="9" t="n">
        <v>9866</v>
      </c>
      <c r="G83" s="9" t="n">
        <v>9557</v>
      </c>
      <c r="H83" s="9" t="n">
        <v>9179</v>
      </c>
      <c r="I83" s="9" t="n">
        <v>3514</v>
      </c>
      <c r="J83" s="9" t="n">
        <v>2666</v>
      </c>
      <c r="K83" s="9" t="n">
        <v>2720</v>
      </c>
      <c r="L83" s="9" t="n">
        <v>2526</v>
      </c>
      <c r="M83" s="9" t="n">
        <v>2656</v>
      </c>
      <c r="N83" s="10" t="n">
        <v>0.0953262882666957</v>
      </c>
      <c r="O83" s="10" t="n">
        <v>0.323042168674699</v>
      </c>
      <c r="P83" s="10" t="n">
        <v>0.166627987932235</v>
      </c>
      <c r="Q83" s="10" t="n">
        <v>-0.126495033448206</v>
      </c>
      <c r="R83" s="10" t="n">
        <v>0.0323323218583238</v>
      </c>
      <c r="S83" s="10" t="n">
        <v>0.0411809565312125</v>
      </c>
      <c r="T83" s="11" t="s">
        <v>35</v>
      </c>
      <c r="U83" s="11" t="s">
        <v>291</v>
      </c>
      <c r="V83" s="8" t="s">
        <v>147</v>
      </c>
      <c r="W83" s="12" t="n">
        <v>279.22</v>
      </c>
      <c r="X83" s="12" t="n">
        <v>406.09</v>
      </c>
      <c r="Y83" s="10" t="n">
        <f aca="false">IF(AND(ISNUMBER(W83),ISNUMBER(X83)),X83/W83-1,"")</f>
        <v>0.454372895924361</v>
      </c>
      <c r="Z83" s="10" t="n">
        <v>0.494717508733199</v>
      </c>
      <c r="AA83" s="10" t="n">
        <v>0.0943013829279924</v>
      </c>
      <c r="AB83" s="11" t="s">
        <v>35</v>
      </c>
      <c r="AC83" s="10" t="n">
        <f aca="false">IF(AND(ISNUMBER(N83),ISNUMBER(AA83)),N83-AA83,"")</f>
        <v>0.00102490533870325</v>
      </c>
    </row>
    <row r="84" customFormat="false" ht="15" hidden="false" customHeight="false" outlineLevel="0" collapsed="false">
      <c r="A84" s="8" t="s">
        <v>292</v>
      </c>
      <c r="B84" s="8" t="s">
        <v>293</v>
      </c>
      <c r="C84" s="8" t="s">
        <v>31</v>
      </c>
      <c r="D84" s="9" t="n">
        <v>1948</v>
      </c>
      <c r="E84" s="9" t="n">
        <v>1670</v>
      </c>
      <c r="F84" s="9" t="n">
        <v>1673</v>
      </c>
      <c r="G84" s="9" t="n">
        <v>1429</v>
      </c>
      <c r="H84" s="9" t="n">
        <v>1988</v>
      </c>
      <c r="I84" s="9" t="n">
        <v>246</v>
      </c>
      <c r="J84" s="9" t="n">
        <v>284</v>
      </c>
      <c r="K84" s="9" t="n">
        <v>236</v>
      </c>
      <c r="L84" s="9" t="n">
        <v>120</v>
      </c>
      <c r="M84" s="9" t="n">
        <v>420</v>
      </c>
      <c r="N84" s="10" t="n">
        <v>-0.0201207243460765</v>
      </c>
      <c r="O84" s="10" t="n">
        <v>-0.414285714285714</v>
      </c>
      <c r="P84" s="10" t="n">
        <v>0.166467065868263</v>
      </c>
      <c r="Q84" s="10" t="n">
        <v>-0.00179318589360433</v>
      </c>
      <c r="R84" s="10" t="n">
        <v>0.17074877536739</v>
      </c>
      <c r="S84" s="10" t="n">
        <v>-0.281187122736419</v>
      </c>
      <c r="T84" s="11" t="s">
        <v>35</v>
      </c>
      <c r="U84" s="11" t="s">
        <v>294</v>
      </c>
      <c r="V84" s="8" t="s">
        <v>84</v>
      </c>
      <c r="W84" s="12" t="n">
        <v>123.08</v>
      </c>
      <c r="X84" s="12" t="n">
        <v>83.94</v>
      </c>
      <c r="Y84" s="10" t="n">
        <f aca="false">IF(AND(ISNUMBER(W84),ISNUMBER(X84)),X84/W84-1,"")</f>
        <v>-0.318004549886253</v>
      </c>
      <c r="Z84" s="10" t="n">
        <v>-0.286218856612058</v>
      </c>
      <c r="AA84" s="10" t="n">
        <v>0.0446663163426169</v>
      </c>
      <c r="AB84" s="8" t="s">
        <v>32</v>
      </c>
      <c r="AC84" s="10" t="n">
        <f aca="false">IF(AND(ISNUMBER(N84),ISNUMBER(AA84)),N84-AA84,"")</f>
        <v>-0.0647870406886933</v>
      </c>
    </row>
    <row r="85" customFormat="false" ht="15" hidden="false" customHeight="false" outlineLevel="0" collapsed="false">
      <c r="A85" s="8" t="s">
        <v>295</v>
      </c>
      <c r="B85" s="8" t="s">
        <v>296</v>
      </c>
      <c r="C85" s="8" t="s">
        <v>31</v>
      </c>
      <c r="D85" s="9" t="n">
        <v>3629</v>
      </c>
      <c r="E85" s="9" t="n">
        <v>3112</v>
      </c>
      <c r="F85" s="9" t="n">
        <v>2825</v>
      </c>
      <c r="G85" s="9" t="n">
        <v>2629</v>
      </c>
      <c r="H85" s="9" t="n">
        <v>2444</v>
      </c>
      <c r="I85" s="9" t="n">
        <v>1563</v>
      </c>
      <c r="J85" s="9" t="n">
        <v>1110</v>
      </c>
      <c r="K85" s="9" t="n">
        <v>846</v>
      </c>
      <c r="L85" s="9" t="n">
        <v>707</v>
      </c>
      <c r="M85" s="9" t="n">
        <v>581</v>
      </c>
      <c r="N85" s="10" t="n">
        <v>0.484860883797054</v>
      </c>
      <c r="O85" s="10" t="n">
        <v>1.69018932874355</v>
      </c>
      <c r="P85" s="10" t="n">
        <v>0.166131105398458</v>
      </c>
      <c r="Q85" s="10" t="n">
        <v>0.101592920353982</v>
      </c>
      <c r="R85" s="10" t="n">
        <v>0.0745530620007608</v>
      </c>
      <c r="S85" s="10" t="n">
        <v>0.07569558101473</v>
      </c>
      <c r="T85" s="11" t="s">
        <v>35</v>
      </c>
      <c r="U85" s="11" t="s">
        <v>297</v>
      </c>
      <c r="V85" s="8" t="s">
        <v>34</v>
      </c>
      <c r="W85" s="12" t="n">
        <v>223.7</v>
      </c>
      <c r="X85" s="12" t="n">
        <v>923.86</v>
      </c>
      <c r="Y85" s="10" t="n">
        <f aca="false">IF(AND(ISNUMBER(W85),ISNUMBER(X85)),X85/W85-1,"")</f>
        <v>3.12990612427358</v>
      </c>
      <c r="Z85" s="10" t="n">
        <v>3.16400600095761</v>
      </c>
      <c r="AA85" s="10" t="n">
        <v>0.295177530471648</v>
      </c>
      <c r="AB85" s="11" t="s">
        <v>35</v>
      </c>
      <c r="AC85" s="10" t="n">
        <f aca="false">IF(AND(ISNUMBER(N85),ISNUMBER(AA85)),N85-AA85,"")</f>
        <v>0.189683353325406</v>
      </c>
    </row>
    <row r="86" customFormat="false" ht="15" hidden="false" customHeight="false" outlineLevel="0" collapsed="false">
      <c r="A86" s="8" t="s">
        <v>298</v>
      </c>
      <c r="B86" s="8" t="s">
        <v>299</v>
      </c>
      <c r="C86" s="8" t="s">
        <v>31</v>
      </c>
      <c r="D86" s="9" t="n">
        <v>1554.004</v>
      </c>
      <c r="E86" s="9" t="n">
        <v>1334.696</v>
      </c>
      <c r="F86" s="9" t="n">
        <v>1307.296</v>
      </c>
      <c r="G86" s="9" t="n">
        <v>1406.511</v>
      </c>
      <c r="H86" s="9" t="n">
        <v>1407.724</v>
      </c>
      <c r="I86" s="9" t="n">
        <v>465.301</v>
      </c>
      <c r="J86" s="9" t="n">
        <v>317.341</v>
      </c>
      <c r="K86" s="9" t="n">
        <v>304.251</v>
      </c>
      <c r="L86" s="9" t="n">
        <v>360.844</v>
      </c>
      <c r="M86" s="9" t="n">
        <v>357.895</v>
      </c>
      <c r="N86" s="10" t="n">
        <v>0.103912414649463</v>
      </c>
      <c r="O86" s="10" t="n">
        <v>0.300104779334721</v>
      </c>
      <c r="P86" s="10" t="n">
        <v>0.164313072040375</v>
      </c>
      <c r="Q86" s="10" t="n">
        <v>0.0209592930751719</v>
      </c>
      <c r="R86" s="10" t="n">
        <v>-0.0705397967026209</v>
      </c>
      <c r="S86" s="10" t="n">
        <v>-0.000861674589621275</v>
      </c>
      <c r="T86" s="11" t="s">
        <v>35</v>
      </c>
      <c r="U86" s="11" t="s">
        <v>300</v>
      </c>
      <c r="V86" s="8" t="s">
        <v>47</v>
      </c>
      <c r="W86" s="12" t="n">
        <v>141.06</v>
      </c>
      <c r="X86" s="12" t="n">
        <v>177.72</v>
      </c>
      <c r="Y86" s="10" t="n">
        <f aca="false">IF(AND(ISNUMBER(W86),ISNUMBER(X86)),X86/W86-1,"")</f>
        <v>0.259889408762229</v>
      </c>
      <c r="Z86" s="10" t="n">
        <v>0.267719411673148</v>
      </c>
      <c r="AA86" s="10" t="n">
        <v>-0.060701395945945</v>
      </c>
      <c r="AB86" s="8"/>
      <c r="AC86" s="10" t="n">
        <f aca="false">IF(AND(ISNUMBER(N86),ISNUMBER(AA86)),N86-AA86,"")</f>
        <v>0.164613810595408</v>
      </c>
    </row>
    <row r="87" customFormat="false" ht="15" hidden="false" customHeight="false" outlineLevel="0" collapsed="false">
      <c r="A87" s="8" t="s">
        <v>301</v>
      </c>
      <c r="B87" s="8" t="s">
        <v>302</v>
      </c>
      <c r="C87" s="8" t="s">
        <v>31</v>
      </c>
      <c r="D87" s="9" t="n">
        <v>8432</v>
      </c>
      <c r="E87" s="9" t="n">
        <v>7249</v>
      </c>
      <c r="F87" s="9" t="n">
        <v>7442</v>
      </c>
      <c r="G87" s="9" t="n">
        <v>6949</v>
      </c>
      <c r="H87" s="9" t="n">
        <v>7244</v>
      </c>
      <c r="I87" s="9" t="n">
        <v>285</v>
      </c>
      <c r="J87" s="9" t="n">
        <v>330</v>
      </c>
      <c r="K87" s="9" t="n">
        <v>391</v>
      </c>
      <c r="L87" s="9" t="n">
        <v>35</v>
      </c>
      <c r="M87" s="9" t="n">
        <v>225</v>
      </c>
      <c r="N87" s="10" t="n">
        <v>0.163997791275538</v>
      </c>
      <c r="O87" s="10" t="n">
        <v>0.266666666666667</v>
      </c>
      <c r="P87" s="10" t="n">
        <v>0.163194923437716</v>
      </c>
      <c r="Q87" s="10" t="n">
        <v>-0.0259338887395861</v>
      </c>
      <c r="R87" s="10" t="n">
        <v>0.0709454597783854</v>
      </c>
      <c r="S87" s="10" t="n">
        <v>-0.0407233572611817</v>
      </c>
      <c r="T87" s="11" t="s">
        <v>35</v>
      </c>
      <c r="U87" s="11" t="s">
        <v>303</v>
      </c>
      <c r="V87" s="8" t="s">
        <v>47</v>
      </c>
      <c r="W87" s="12" t="n">
        <v>33.06</v>
      </c>
      <c r="X87" s="12" t="n">
        <v>41.04</v>
      </c>
      <c r="Y87" s="10" t="n">
        <f aca="false">IF(AND(ISNUMBER(W87),ISNUMBER(X87)),X87/W87-1,"")</f>
        <v>0.241379310344827</v>
      </c>
      <c r="Z87" s="10" t="n">
        <v>0.263533784914602</v>
      </c>
      <c r="AA87" s="10" t="n">
        <v>-0.0149578460701659</v>
      </c>
      <c r="AB87" s="11" t="s">
        <v>35</v>
      </c>
      <c r="AC87" s="10" t="n">
        <f aca="false">IF(AND(ISNUMBER(N87),ISNUMBER(AA87)),N87-AA87,"")</f>
        <v>0.178955637345704</v>
      </c>
    </row>
    <row r="88" customFormat="false" ht="15" hidden="false" customHeight="false" outlineLevel="0" collapsed="false">
      <c r="A88" s="8" t="s">
        <v>304</v>
      </c>
      <c r="B88" s="8" t="s">
        <v>305</v>
      </c>
      <c r="C88" s="8" t="s">
        <v>132</v>
      </c>
      <c r="D88" s="9" t="n">
        <v>5141</v>
      </c>
      <c r="E88" s="9" t="n">
        <v>4428</v>
      </c>
      <c r="F88" s="9" t="n">
        <v>3527</v>
      </c>
      <c r="G88" s="9" t="n">
        <v>3419</v>
      </c>
      <c r="H88" s="9" t="n">
        <v>4440</v>
      </c>
      <c r="I88" s="9" t="n">
        <v>414</v>
      </c>
      <c r="J88" s="9" t="n">
        <v>810</v>
      </c>
      <c r="K88" s="9" t="n">
        <v>669</v>
      </c>
      <c r="L88" s="9" t="n">
        <v>448</v>
      </c>
      <c r="M88" s="9" t="n">
        <v>623</v>
      </c>
      <c r="N88" s="10" t="n">
        <v>0.157882882882883</v>
      </c>
      <c r="O88" s="10" t="n">
        <v>-0.335473515248796</v>
      </c>
      <c r="P88" s="10" t="n">
        <v>0.161020776874435</v>
      </c>
      <c r="Q88" s="10" t="n">
        <v>0.25545789622909</v>
      </c>
      <c r="R88" s="10" t="n">
        <v>0.0315881836794385</v>
      </c>
      <c r="S88" s="10" t="n">
        <v>-0.229954954954955</v>
      </c>
      <c r="T88" s="11" t="s">
        <v>35</v>
      </c>
      <c r="U88" s="11" t="s">
        <v>306</v>
      </c>
      <c r="V88" s="8" t="s">
        <v>134</v>
      </c>
      <c r="W88" s="12" t="n">
        <v>138.76</v>
      </c>
      <c r="X88" s="12" t="n">
        <v>122.89</v>
      </c>
      <c r="Y88" s="10" t="n">
        <f aca="false">IF(AND(ISNUMBER(W88),ISNUMBER(X88)),X88/W88-1,"")</f>
        <v>-0.114370135485731</v>
      </c>
      <c r="Z88" s="10" t="n">
        <v>-0.0838619738833538</v>
      </c>
      <c r="AA88" s="10" t="n">
        <v>0.189217391304348</v>
      </c>
      <c r="AB88" s="8"/>
      <c r="AC88" s="10" t="n">
        <f aca="false">IF(AND(ISNUMBER(N88),ISNUMBER(AA88)),N88-AA88,"")</f>
        <v>-0.0313345084214649</v>
      </c>
    </row>
    <row r="89" customFormat="false" ht="15" hidden="false" customHeight="false" outlineLevel="0" collapsed="false">
      <c r="A89" s="8" t="s">
        <v>307</v>
      </c>
      <c r="B89" s="8" t="s">
        <v>308</v>
      </c>
      <c r="C89" s="8" t="s">
        <v>31</v>
      </c>
      <c r="D89" s="9" t="n">
        <v>22974</v>
      </c>
      <c r="E89" s="9" t="n">
        <v>19799</v>
      </c>
      <c r="F89" s="9" t="n">
        <v>19292</v>
      </c>
      <c r="G89" s="9" t="n">
        <v>17600.8</v>
      </c>
      <c r="H89" s="9" t="n">
        <v>15558</v>
      </c>
      <c r="I89" s="9" t="n">
        <v>12457</v>
      </c>
      <c r="J89" s="9" t="n">
        <v>9778</v>
      </c>
      <c r="K89" s="9" t="n">
        <v>8987.4</v>
      </c>
      <c r="L89" s="9" t="n">
        <v>8386.1</v>
      </c>
      <c r="M89" s="9" t="n">
        <v>7021</v>
      </c>
      <c r="N89" s="10" t="n">
        <v>0.476667952178943</v>
      </c>
      <c r="O89" s="10" t="n">
        <v>0.774248682523857</v>
      </c>
      <c r="P89" s="10" t="n">
        <v>0.160361634425981</v>
      </c>
      <c r="Q89" s="10" t="n">
        <v>0.0262803234501348</v>
      </c>
      <c r="R89" s="10" t="n">
        <v>0.0960865415208401</v>
      </c>
      <c r="S89" s="10" t="n">
        <v>0.131302223936239</v>
      </c>
      <c r="T89" s="11" t="s">
        <v>35</v>
      </c>
      <c r="U89" s="11" t="s">
        <v>309</v>
      </c>
      <c r="V89" s="8" t="s">
        <v>147</v>
      </c>
      <c r="W89" s="12" t="n">
        <v>741.85</v>
      </c>
      <c r="X89" s="12" t="n">
        <v>1150.99</v>
      </c>
      <c r="Y89" s="10" t="n">
        <f aca="false">IF(AND(ISNUMBER(W89),ISNUMBER(X89)),X89/W89-1,"")</f>
        <v>0.551513109119094</v>
      </c>
      <c r="Z89" s="10" t="n">
        <v>0.561298309181744</v>
      </c>
      <c r="AA89" s="10" t="n">
        <v>0.376446544219132</v>
      </c>
      <c r="AB89" s="11" t="s">
        <v>35</v>
      </c>
      <c r="AC89" s="10" t="n">
        <f aca="false">IF(AND(ISNUMBER(N89),ISNUMBER(AA89)),N89-AA89,"")</f>
        <v>0.100221407959812</v>
      </c>
    </row>
    <row r="90" customFormat="false" ht="15" hidden="false" customHeight="false" outlineLevel="0" collapsed="false">
      <c r="A90" s="8" t="s">
        <v>310</v>
      </c>
      <c r="B90" s="8" t="s">
        <v>311</v>
      </c>
      <c r="C90" s="8" t="s">
        <v>31</v>
      </c>
      <c r="D90" s="9" t="n">
        <v>3465</v>
      </c>
      <c r="E90" s="9" t="n">
        <v>2998</v>
      </c>
      <c r="F90" s="9" t="n">
        <v>2974</v>
      </c>
      <c r="G90" s="9" t="n">
        <v>3103</v>
      </c>
      <c r="H90" s="9" t="n">
        <v>3110</v>
      </c>
      <c r="I90" s="9" t="n">
        <v>1266</v>
      </c>
      <c r="J90" s="9" t="n">
        <v>992</v>
      </c>
      <c r="K90" s="9" t="n">
        <v>1158</v>
      </c>
      <c r="L90" s="9" t="n">
        <v>1189</v>
      </c>
      <c r="M90" s="9" t="n">
        <v>1231</v>
      </c>
      <c r="N90" s="10" t="n">
        <v>0.114147909967846</v>
      </c>
      <c r="O90" s="10" t="n">
        <v>0.0284321689683185</v>
      </c>
      <c r="P90" s="10" t="n">
        <v>0.155770513675784</v>
      </c>
      <c r="Q90" s="10" t="n">
        <v>0.00806993947545398</v>
      </c>
      <c r="R90" s="10" t="n">
        <v>-0.0415726716081212</v>
      </c>
      <c r="S90" s="10" t="n">
        <v>-0.00225080385852094</v>
      </c>
      <c r="T90" s="11" t="s">
        <v>35</v>
      </c>
      <c r="U90" s="11" t="s">
        <v>312</v>
      </c>
      <c r="V90" s="8" t="s">
        <v>47</v>
      </c>
      <c r="W90" s="12" t="n">
        <v>293.32</v>
      </c>
      <c r="X90" s="12" t="n">
        <v>315.01</v>
      </c>
      <c r="Y90" s="10" t="n">
        <f aca="false">IF(AND(ISNUMBER(W90),ISNUMBER(X90)),X90/W90-1,"")</f>
        <v>0.0739465430246828</v>
      </c>
      <c r="Z90" s="10" t="n">
        <v>0.0928758004339423</v>
      </c>
      <c r="AA90" s="10" t="n">
        <v>0.0216819973718792</v>
      </c>
      <c r="AB90" s="8"/>
      <c r="AC90" s="10" t="n">
        <f aca="false">IF(AND(ISNUMBER(N90),ISNUMBER(AA90)),N90-AA90,"")</f>
        <v>0.0924659125959666</v>
      </c>
    </row>
    <row r="91" customFormat="false" ht="15" hidden="false" customHeight="false" outlineLevel="0" collapsed="false">
      <c r="A91" s="8" t="s">
        <v>313</v>
      </c>
      <c r="B91" s="8" t="s">
        <v>314</v>
      </c>
      <c r="C91" s="8" t="s">
        <v>31</v>
      </c>
      <c r="D91" s="9" t="n">
        <v>3133</v>
      </c>
      <c r="E91" s="9" t="n">
        <v>2714</v>
      </c>
      <c r="F91" s="9" t="n">
        <v>3380</v>
      </c>
      <c r="G91" s="9" t="n">
        <v>3009</v>
      </c>
      <c r="H91" s="9" t="n">
        <v>2765</v>
      </c>
      <c r="I91" s="9" t="n">
        <v>827</v>
      </c>
      <c r="J91" s="9" t="n">
        <v>581</v>
      </c>
      <c r="K91" s="9" t="n">
        <v>905</v>
      </c>
      <c r="L91" s="9" t="n">
        <v>766</v>
      </c>
      <c r="M91" s="9" t="n">
        <v>693</v>
      </c>
      <c r="N91" s="10" t="n">
        <v>0.133092224231465</v>
      </c>
      <c r="O91" s="10" t="n">
        <v>0.193362193362193</v>
      </c>
      <c r="P91" s="10" t="n">
        <v>0.154384672070744</v>
      </c>
      <c r="Q91" s="10" t="n">
        <v>-0.197041420118343</v>
      </c>
      <c r="R91" s="10" t="n">
        <v>0.123296776337654</v>
      </c>
      <c r="S91" s="10" t="n">
        <v>0.0882459312839059</v>
      </c>
      <c r="T91" s="11" t="s">
        <v>35</v>
      </c>
      <c r="U91" s="11" t="s">
        <v>315</v>
      </c>
      <c r="V91" s="8" t="s">
        <v>34</v>
      </c>
      <c r="W91" s="12" t="n">
        <v>455.13</v>
      </c>
      <c r="X91" s="12" t="n">
        <v>460.44</v>
      </c>
      <c r="Y91" s="10" t="n">
        <f aca="false">IF(AND(ISNUMBER(W91),ISNUMBER(X91)),X91/W91-1,"")</f>
        <v>0.0116669962428317</v>
      </c>
      <c r="Z91" s="10" t="n">
        <v>0.0234063440660881</v>
      </c>
      <c r="AA91" s="10" t="n">
        <v>0.0521308980213089</v>
      </c>
      <c r="AB91" s="8"/>
      <c r="AC91" s="10" t="n">
        <f aca="false">IF(AND(ISNUMBER(N91),ISNUMBER(AA91)),N91-AA91,"")</f>
        <v>0.0809613262101558</v>
      </c>
    </row>
    <row r="92" customFormat="false" ht="15" hidden="false" customHeight="false" outlineLevel="0" collapsed="false">
      <c r="A92" s="8" t="s">
        <v>316</v>
      </c>
      <c r="B92" s="8" t="s">
        <v>317</v>
      </c>
      <c r="C92" s="8" t="s">
        <v>31</v>
      </c>
      <c r="D92" s="9" t="n">
        <v>2022.092</v>
      </c>
      <c r="E92" s="9" t="n">
        <v>1753.489</v>
      </c>
      <c r="F92" s="9" t="n">
        <v>2124.955</v>
      </c>
      <c r="G92" s="9" t="n">
        <v>1770.901</v>
      </c>
      <c r="H92" s="9" t="n">
        <v>1814.564</v>
      </c>
      <c r="I92" s="9" t="n">
        <v>615.508</v>
      </c>
      <c r="J92" s="9" t="n">
        <v>431.665</v>
      </c>
      <c r="K92" s="9" t="n">
        <v>614.154</v>
      </c>
      <c r="L92" s="9" t="n">
        <v>456.803</v>
      </c>
      <c r="M92" s="9" t="n">
        <v>472.295</v>
      </c>
      <c r="N92" s="10" t="n">
        <v>0.114367969385483</v>
      </c>
      <c r="O92" s="10" t="n">
        <v>0.303227855471686</v>
      </c>
      <c r="P92" s="10" t="n">
        <v>0.153182027375136</v>
      </c>
      <c r="Q92" s="10" t="n">
        <v>-0.174811231296663</v>
      </c>
      <c r="R92" s="10" t="n">
        <v>0.199928736840738</v>
      </c>
      <c r="S92" s="10" t="n">
        <v>-0.0240625296214407</v>
      </c>
      <c r="T92" s="11" t="s">
        <v>35</v>
      </c>
      <c r="U92" s="8" t="s">
        <v>318</v>
      </c>
      <c r="V92" s="8" t="s">
        <v>43</v>
      </c>
      <c r="W92" s="12" t="n">
        <v>236.44</v>
      </c>
      <c r="X92" s="12" t="n">
        <v>287.58</v>
      </c>
      <c r="Y92" s="10" t="n">
        <f aca="false">IF(AND(ISNUMBER(W92),ISNUMBER(X92)),X92/W92-1,"")</f>
        <v>0.216291659617662</v>
      </c>
      <c r="Z92" s="10" t="n">
        <v>0.236389044584115</v>
      </c>
      <c r="AA92" s="10" t="n">
        <v>0.204353173320519</v>
      </c>
      <c r="AB92" s="11" t="s">
        <v>35</v>
      </c>
      <c r="AC92" s="10" t="n">
        <f aca="false">IF(AND(ISNUMBER(N92),ISNUMBER(AA92)),N92-AA92,"")</f>
        <v>-0.089985203935036</v>
      </c>
    </row>
    <row r="93" customFormat="false" ht="15" hidden="false" customHeight="false" outlineLevel="0" collapsed="false">
      <c r="A93" s="8" t="s">
        <v>319</v>
      </c>
      <c r="B93" s="8" t="s">
        <v>320</v>
      </c>
      <c r="C93" s="8" t="s">
        <v>31</v>
      </c>
      <c r="D93" s="9" t="n">
        <v>6722.238</v>
      </c>
      <c r="E93" s="9" t="n">
        <v>5841.488</v>
      </c>
      <c r="F93" s="9" t="n">
        <v>5344.791</v>
      </c>
      <c r="G93" s="9" t="n">
        <v>5324.173</v>
      </c>
      <c r="H93" s="9" t="n">
        <v>5171.393</v>
      </c>
      <c r="I93" s="9" t="n">
        <v>2513.488</v>
      </c>
      <c r="J93" s="9" t="n">
        <v>2047.016</v>
      </c>
      <c r="K93" s="9" t="n">
        <v>1810.203</v>
      </c>
      <c r="L93" s="9" t="n">
        <v>1829.088</v>
      </c>
      <c r="M93" s="9" t="n">
        <v>1741.128</v>
      </c>
      <c r="N93" s="10" t="n">
        <v>0.299889217470032</v>
      </c>
      <c r="O93" s="10" t="n">
        <v>0.443597483929958</v>
      </c>
      <c r="P93" s="10" t="n">
        <v>0.150774939535954</v>
      </c>
      <c r="Q93" s="10" t="n">
        <v>0.0929310425795882</v>
      </c>
      <c r="R93" s="10" t="n">
        <v>0.00387252630596335</v>
      </c>
      <c r="S93" s="10" t="n">
        <v>0.029543297134834</v>
      </c>
      <c r="T93" s="11" t="s">
        <v>35</v>
      </c>
      <c r="U93" s="11" t="s">
        <v>321</v>
      </c>
      <c r="V93" s="8" t="s">
        <v>34</v>
      </c>
      <c r="W93" s="12" t="n">
        <v>128.32</v>
      </c>
      <c r="X93" s="12" t="n">
        <v>307.28</v>
      </c>
      <c r="Y93" s="10" t="n">
        <f aca="false">IF(AND(ISNUMBER(W93),ISNUMBER(X93)),X93/W93-1,"")</f>
        <v>1.39463840399003</v>
      </c>
      <c r="Z93" s="10" t="n">
        <v>1.40569887487217</v>
      </c>
      <c r="AA93" s="10" t="n">
        <v>0.335757109569994</v>
      </c>
      <c r="AB93" s="8"/>
      <c r="AC93" s="10" t="n">
        <f aca="false">IF(AND(ISNUMBER(N93),ISNUMBER(AA93)),N93-AA93,"")</f>
        <v>-0.0358678920999626</v>
      </c>
    </row>
    <row r="94" customFormat="false" ht="15" hidden="false" customHeight="false" outlineLevel="0" collapsed="false">
      <c r="A94" s="8" t="s">
        <v>322</v>
      </c>
      <c r="B94" s="8" t="s">
        <v>323</v>
      </c>
      <c r="C94" s="8" t="s">
        <v>31</v>
      </c>
      <c r="D94" s="9" t="n">
        <v>3209</v>
      </c>
      <c r="E94" s="9" t="n">
        <v>2795</v>
      </c>
      <c r="F94" s="9" t="n">
        <v>2209</v>
      </c>
      <c r="G94" s="9" t="n">
        <v>2279</v>
      </c>
      <c r="H94" s="9" t="n">
        <v>2223</v>
      </c>
      <c r="I94" s="8"/>
      <c r="J94" s="8"/>
      <c r="K94" s="8"/>
      <c r="L94" s="8"/>
      <c r="M94" s="8"/>
      <c r="N94" s="10" t="n">
        <v>0.443544759334233</v>
      </c>
      <c r="O94" s="8"/>
      <c r="P94" s="10" t="n">
        <v>0.148121645796064</v>
      </c>
      <c r="Q94" s="10" t="n">
        <v>0.265278406518787</v>
      </c>
      <c r="R94" s="10" t="n">
        <v>-0.0307152259763054</v>
      </c>
      <c r="S94" s="10" t="n">
        <v>0.0251911830859199</v>
      </c>
      <c r="T94" s="11" t="s">
        <v>35</v>
      </c>
      <c r="U94" s="11" t="s">
        <v>324</v>
      </c>
      <c r="V94" s="8" t="s">
        <v>51</v>
      </c>
      <c r="W94" s="12" t="n">
        <v>45.17</v>
      </c>
      <c r="X94" s="12" t="n">
        <v>51.69</v>
      </c>
      <c r="Y94" s="10" t="n">
        <f aca="false">IF(AND(ISNUMBER(W94),ISNUMBER(X94)),X94/W94-1,"")</f>
        <v>0.144343590878902</v>
      </c>
      <c r="Z94" s="10" t="n">
        <v>0.18316704943601</v>
      </c>
      <c r="AA94" s="10" t="n">
        <v>0.0782901056676273</v>
      </c>
      <c r="AB94" s="8"/>
      <c r="AC94" s="10" t="n">
        <f aca="false">IF(AND(ISNUMBER(N94),ISNUMBER(AA94)),N94-AA94,"")</f>
        <v>0.365254653666606</v>
      </c>
    </row>
    <row r="95" customFormat="false" ht="15" hidden="false" customHeight="false" outlineLevel="0" collapsed="false">
      <c r="A95" s="8" t="s">
        <v>325</v>
      </c>
      <c r="B95" s="8" t="s">
        <v>326</v>
      </c>
      <c r="C95" s="8" t="s">
        <v>31</v>
      </c>
      <c r="D95" s="9" t="n">
        <v>7376</v>
      </c>
      <c r="E95" s="9" t="n">
        <v>6432</v>
      </c>
      <c r="F95" s="9" t="n">
        <v>5603</v>
      </c>
      <c r="G95" s="9" t="n">
        <v>5647</v>
      </c>
      <c r="H95" s="9" t="n">
        <v>4840</v>
      </c>
      <c r="I95" s="9" t="n">
        <v>680</v>
      </c>
      <c r="J95" s="9" t="n">
        <v>581</v>
      </c>
      <c r="K95" s="9" t="n">
        <v>424</v>
      </c>
      <c r="L95" s="9" t="n">
        <v>552</v>
      </c>
      <c r="M95" s="9" t="n">
        <v>511</v>
      </c>
      <c r="N95" s="10" t="n">
        <v>0.52396694214876</v>
      </c>
      <c r="O95" s="10" t="n">
        <v>0.330724070450098</v>
      </c>
      <c r="P95" s="10" t="n">
        <v>0.146766169154229</v>
      </c>
      <c r="Q95" s="10" t="n">
        <v>0.147956451900767</v>
      </c>
      <c r="R95" s="10" t="n">
        <v>-0.00779174783070658</v>
      </c>
      <c r="S95" s="10" t="n">
        <v>0.166735537190083</v>
      </c>
      <c r="T95" s="11" t="s">
        <v>35</v>
      </c>
      <c r="U95" s="11" t="s">
        <v>327</v>
      </c>
      <c r="V95" s="8" t="s">
        <v>43</v>
      </c>
      <c r="W95" s="12" t="n">
        <v>74.962</v>
      </c>
      <c r="X95" s="12" t="n">
        <v>63.95</v>
      </c>
      <c r="Y95" s="10" t="n">
        <f aca="false">IF(AND(ISNUMBER(W95),ISNUMBER(X95)),X95/W95-1,"")</f>
        <v>-0.146901096555588</v>
      </c>
      <c r="Z95" s="10" t="n">
        <v>-0.14690106345592</v>
      </c>
      <c r="AA95" s="10" t="n">
        <v>0.419354838709678</v>
      </c>
      <c r="AB95" s="11" t="s">
        <v>35</v>
      </c>
      <c r="AC95" s="10" t="n">
        <f aca="false">IF(AND(ISNUMBER(N95),ISNUMBER(AA95)),N95-AA95,"")</f>
        <v>0.104612103439083</v>
      </c>
    </row>
    <row r="96" customFormat="false" ht="15" hidden="false" customHeight="false" outlineLevel="0" collapsed="false">
      <c r="A96" s="8" t="s">
        <v>328</v>
      </c>
      <c r="B96" s="8" t="s">
        <v>329</v>
      </c>
      <c r="C96" s="8" t="s">
        <v>31</v>
      </c>
      <c r="D96" s="9" t="n">
        <v>4495</v>
      </c>
      <c r="E96" s="9" t="n">
        <v>3930</v>
      </c>
      <c r="F96" s="9" t="n">
        <v>3914</v>
      </c>
      <c r="G96" s="9" t="n">
        <v>4082</v>
      </c>
      <c r="H96" s="9" t="n">
        <v>4195</v>
      </c>
      <c r="I96" s="9" t="n">
        <v>636</v>
      </c>
      <c r="J96" s="9" t="n">
        <v>525</v>
      </c>
      <c r="K96" s="9" t="n">
        <v>450</v>
      </c>
      <c r="L96" s="9" t="n">
        <v>588</v>
      </c>
      <c r="M96" s="9" t="n">
        <v>650</v>
      </c>
      <c r="N96" s="10" t="n">
        <v>0.0715137067938021</v>
      </c>
      <c r="O96" s="10" t="n">
        <v>-0.0215384615384615</v>
      </c>
      <c r="P96" s="10" t="n">
        <v>0.143765903307888</v>
      </c>
      <c r="Q96" s="10" t="n">
        <v>0.00408788962698004</v>
      </c>
      <c r="R96" s="10" t="n">
        <v>-0.041156295933366</v>
      </c>
      <c r="S96" s="10" t="n">
        <v>-0.0269368295589988</v>
      </c>
      <c r="T96" s="11" t="s">
        <v>35</v>
      </c>
      <c r="U96" s="11" t="s">
        <v>330</v>
      </c>
      <c r="V96" s="8" t="s">
        <v>104</v>
      </c>
      <c r="W96" s="12" t="n">
        <v>105.48</v>
      </c>
      <c r="X96" s="12" t="n">
        <v>107.2</v>
      </c>
      <c r="Y96" s="10" t="n">
        <f aca="false">IF(AND(ISNUMBER(W96),ISNUMBER(X96)),X96/W96-1,"")</f>
        <v>0.0163064087978764</v>
      </c>
      <c r="Z96" s="10" t="n">
        <v>0.0429031993734379</v>
      </c>
      <c r="AA96" s="10" t="n">
        <v>-0.00944510035419122</v>
      </c>
      <c r="AB96" s="11" t="s">
        <v>35</v>
      </c>
      <c r="AC96" s="10" t="n">
        <f aca="false">IF(AND(ISNUMBER(N96),ISNUMBER(AA96)),N96-AA96,"")</f>
        <v>0.0809588071479933</v>
      </c>
    </row>
    <row r="97" customFormat="false" ht="15" hidden="false" customHeight="false" outlineLevel="0" collapsed="false">
      <c r="A97" s="8" t="s">
        <v>331</v>
      </c>
      <c r="B97" s="8" t="s">
        <v>332</v>
      </c>
      <c r="C97" s="8" t="s">
        <v>38</v>
      </c>
      <c r="D97" s="9" t="n">
        <v>12213</v>
      </c>
      <c r="E97" s="9" t="n">
        <v>10678</v>
      </c>
      <c r="F97" s="9" t="n">
        <v>9301</v>
      </c>
      <c r="G97" s="9" t="n">
        <v>9679</v>
      </c>
      <c r="H97" s="9" t="n">
        <v>9136</v>
      </c>
      <c r="I97" s="9" t="n">
        <v>1464</v>
      </c>
      <c r="J97" s="9" t="n">
        <v>825</v>
      </c>
      <c r="K97" s="9" t="n">
        <v>587</v>
      </c>
      <c r="L97" s="9" t="n">
        <v>408</v>
      </c>
      <c r="M97" s="9" t="n">
        <v>428</v>
      </c>
      <c r="N97" s="10" t="n">
        <v>0.336799474605954</v>
      </c>
      <c r="O97" s="10" t="n">
        <v>2.42056074766355</v>
      </c>
      <c r="P97" s="10" t="n">
        <v>0.143753511893613</v>
      </c>
      <c r="Q97" s="10" t="n">
        <v>0.148048596925062</v>
      </c>
      <c r="R97" s="10" t="n">
        <v>-0.0390536212418639</v>
      </c>
      <c r="S97" s="10" t="n">
        <v>0.0594352014010509</v>
      </c>
      <c r="T97" s="11" t="s">
        <v>35</v>
      </c>
      <c r="U97" s="11" t="s">
        <v>333</v>
      </c>
      <c r="V97" s="8" t="s">
        <v>34</v>
      </c>
      <c r="W97" s="12" t="n">
        <v>24.46</v>
      </c>
      <c r="X97" s="12" t="n">
        <v>62.33</v>
      </c>
      <c r="Y97" s="10" t="n">
        <f aca="false">IF(AND(ISNUMBER(W97),ISNUMBER(X97)),X97/W97-1,"")</f>
        <v>1.54824202780049</v>
      </c>
      <c r="Z97" s="10" t="n">
        <v>1.59419169960192</v>
      </c>
      <c r="AA97" s="10" t="n">
        <v>0.184954604409857</v>
      </c>
      <c r="AB97" s="11" t="s">
        <v>35</v>
      </c>
      <c r="AC97" s="10" t="n">
        <f aca="false">IF(AND(ISNUMBER(N97),ISNUMBER(AA97)),N97-AA97,"")</f>
        <v>0.151844870196097</v>
      </c>
    </row>
    <row r="98" customFormat="false" ht="15" hidden="false" customHeight="false" outlineLevel="0" collapsed="false">
      <c r="A98" s="8" t="s">
        <v>334</v>
      </c>
      <c r="B98" s="8" t="s">
        <v>335</v>
      </c>
      <c r="C98" s="8" t="s">
        <v>31</v>
      </c>
      <c r="D98" s="9" t="n">
        <v>3495.296</v>
      </c>
      <c r="E98" s="9" t="n">
        <v>3056.491</v>
      </c>
      <c r="F98" s="9" t="n">
        <v>3096.626</v>
      </c>
      <c r="G98" s="9" t="n">
        <v>3052.897</v>
      </c>
      <c r="H98" s="9" t="n">
        <v>2928.181</v>
      </c>
      <c r="I98" s="9" t="n">
        <v>259.452</v>
      </c>
      <c r="J98" s="9" t="n">
        <v>207.048</v>
      </c>
      <c r="K98" s="9" t="n">
        <v>246.457</v>
      </c>
      <c r="L98" s="9" t="n">
        <v>242.657</v>
      </c>
      <c r="M98" s="9" t="n">
        <v>197.274</v>
      </c>
      <c r="N98" s="10" t="n">
        <v>0.193674844553667</v>
      </c>
      <c r="O98" s="10" t="n">
        <v>0.315185984975212</v>
      </c>
      <c r="P98" s="10" t="n">
        <v>0.14356495733179</v>
      </c>
      <c r="Q98" s="10" t="n">
        <v>-0.0129608806488094</v>
      </c>
      <c r="R98" s="10" t="n">
        <v>0.0143237718141163</v>
      </c>
      <c r="S98" s="10" t="n">
        <v>0.0425916294108868</v>
      </c>
      <c r="T98" s="11" t="s">
        <v>35</v>
      </c>
      <c r="U98" s="11" t="s">
        <v>336</v>
      </c>
      <c r="V98" s="8" t="s">
        <v>47</v>
      </c>
      <c r="W98" s="12" t="n">
        <v>132.87</v>
      </c>
      <c r="X98" s="12" t="n">
        <v>234.63</v>
      </c>
      <c r="Y98" s="10" t="n">
        <f aca="false">IF(AND(ISNUMBER(W98),ISNUMBER(X98)),X98/W98-1,"")</f>
        <v>0.765861368254685</v>
      </c>
      <c r="Z98" s="10" t="n">
        <v>0.780314335509571</v>
      </c>
      <c r="AA98" s="10" t="n">
        <v>-0.000172090887207044</v>
      </c>
      <c r="AB98" s="8"/>
      <c r="AC98" s="10" t="n">
        <f aca="false">IF(AND(ISNUMBER(N98),ISNUMBER(AA98)),N98-AA98,"")</f>
        <v>0.193846935440874</v>
      </c>
    </row>
    <row r="99" customFormat="false" ht="15" hidden="false" customHeight="false" outlineLevel="0" collapsed="false">
      <c r="A99" s="8" t="s">
        <v>337</v>
      </c>
      <c r="B99" s="8" t="s">
        <v>338</v>
      </c>
      <c r="C99" s="8" t="s">
        <v>31</v>
      </c>
      <c r="D99" s="9" t="n">
        <v>3265.656</v>
      </c>
      <c r="E99" s="9" t="n">
        <v>2865.332</v>
      </c>
      <c r="F99" s="9" t="n">
        <v>2646.067</v>
      </c>
      <c r="G99" s="9" t="n">
        <v>2450.969</v>
      </c>
      <c r="H99" s="9" t="n">
        <v>2173.319</v>
      </c>
      <c r="I99" s="9" t="n">
        <v>557.181</v>
      </c>
      <c r="J99" s="9" t="n">
        <v>485.416</v>
      </c>
      <c r="K99" s="9" t="n">
        <v>426.35</v>
      </c>
      <c r="L99" s="9" t="n">
        <v>378.292</v>
      </c>
      <c r="M99" s="9" t="n">
        <v>299.431</v>
      </c>
      <c r="N99" s="10" t="n">
        <v>0.502612363854547</v>
      </c>
      <c r="O99" s="10" t="n">
        <v>0.860799316036082</v>
      </c>
      <c r="P99" s="10" t="n">
        <v>0.139712954729155</v>
      </c>
      <c r="Q99" s="10" t="n">
        <v>0.0828644928491984</v>
      </c>
      <c r="R99" s="10" t="n">
        <v>0.0796003539824453</v>
      </c>
      <c r="S99" s="10" t="n">
        <v>0.127753910033456</v>
      </c>
      <c r="T99" s="11" t="s">
        <v>35</v>
      </c>
      <c r="U99" s="11" t="s">
        <v>339</v>
      </c>
      <c r="V99" s="8" t="s">
        <v>47</v>
      </c>
      <c r="W99" s="12" t="n">
        <v>791.46</v>
      </c>
      <c r="X99" s="12" t="n">
        <v>1625.9</v>
      </c>
      <c r="Y99" s="10" t="n">
        <f aca="false">IF(AND(ISNUMBER(W99),ISNUMBER(X99)),X99/W99-1,"")</f>
        <v>1.05430470270134</v>
      </c>
      <c r="Z99" s="10" t="n">
        <v>1.05851146078432</v>
      </c>
      <c r="AA99" s="10" t="n">
        <v>0.200536378149357</v>
      </c>
      <c r="AB99" s="11" t="s">
        <v>35</v>
      </c>
      <c r="AC99" s="10" t="n">
        <f aca="false">IF(AND(ISNUMBER(N99),ISNUMBER(AA99)),N99-AA99,"")</f>
        <v>0.30207598570519</v>
      </c>
    </row>
    <row r="100" customFormat="false" ht="15" hidden="false" customHeight="false" outlineLevel="0" collapsed="false">
      <c r="A100" s="8" t="s">
        <v>340</v>
      </c>
      <c r="B100" s="8" t="s">
        <v>341</v>
      </c>
      <c r="C100" s="8" t="s">
        <v>31</v>
      </c>
      <c r="D100" s="9" t="n">
        <v>1139.6</v>
      </c>
      <c r="E100" s="9" t="n">
        <v>1000.2</v>
      </c>
      <c r="F100" s="9" t="n">
        <v>1445.9</v>
      </c>
      <c r="G100" s="9" t="n">
        <v>1387.5</v>
      </c>
      <c r="H100" s="9" t="n">
        <v>980.8</v>
      </c>
      <c r="I100" s="9" t="n">
        <v>252.5</v>
      </c>
      <c r="J100" s="9" t="n">
        <v>270.3</v>
      </c>
      <c r="K100" s="9" t="n">
        <v>297.5</v>
      </c>
      <c r="L100" s="9" t="n">
        <v>341.1</v>
      </c>
      <c r="M100" s="9" t="n">
        <v>223.7</v>
      </c>
      <c r="N100" s="10" t="n">
        <v>0.161908646003263</v>
      </c>
      <c r="O100" s="10" t="n">
        <v>0.128743853375056</v>
      </c>
      <c r="P100" s="10" t="n">
        <v>0.139372125574885</v>
      </c>
      <c r="Q100" s="10" t="n">
        <v>-0.308250916384259</v>
      </c>
      <c r="R100" s="10" t="n">
        <v>0.04209009009009</v>
      </c>
      <c r="S100" s="10" t="n">
        <v>0.414661500815661</v>
      </c>
      <c r="T100" s="11" t="s">
        <v>35</v>
      </c>
      <c r="U100" s="11" t="s">
        <v>342</v>
      </c>
      <c r="V100" s="8" t="s">
        <v>43</v>
      </c>
      <c r="W100" s="12" t="n">
        <v>75.23</v>
      </c>
      <c r="X100" s="12" t="n">
        <v>86.52</v>
      </c>
      <c r="Y100" s="10" t="n">
        <f aca="false">IF(AND(ISNUMBER(W100),ISNUMBER(X100)),X100/W100-1,"")</f>
        <v>0.150073109131995</v>
      </c>
      <c r="Z100" s="10" t="n">
        <v>0.187175238003513</v>
      </c>
      <c r="AA100" s="10" t="n">
        <v>-0.00726667834004557</v>
      </c>
      <c r="AB100" s="11" t="s">
        <v>35</v>
      </c>
      <c r="AC100" s="10" t="n">
        <f aca="false">IF(AND(ISNUMBER(N100),ISNUMBER(AA100)),N100-AA100,"")</f>
        <v>0.169175324343308</v>
      </c>
    </row>
    <row r="101" customFormat="false" ht="15" hidden="false" customHeight="false" outlineLevel="0" collapsed="false">
      <c r="A101" s="8" t="s">
        <v>343</v>
      </c>
      <c r="B101" s="8" t="s">
        <v>344</v>
      </c>
      <c r="C101" s="8" t="s">
        <v>31</v>
      </c>
      <c r="D101" s="9" t="n">
        <v>3341</v>
      </c>
      <c r="E101" s="9" t="n">
        <v>2937</v>
      </c>
      <c r="F101" s="9" t="n">
        <v>3087</v>
      </c>
      <c r="G101" s="9" t="n">
        <v>3120</v>
      </c>
      <c r="H101" s="9" t="n">
        <v>3137</v>
      </c>
      <c r="I101" s="9" t="n">
        <v>858</v>
      </c>
      <c r="J101" s="9" t="n">
        <v>678</v>
      </c>
      <c r="K101" s="9" t="n">
        <v>602</v>
      </c>
      <c r="L101" s="9" t="n">
        <v>777</v>
      </c>
      <c r="M101" s="9" t="n">
        <v>778</v>
      </c>
      <c r="N101" s="10" t="n">
        <v>0.0650302837105514</v>
      </c>
      <c r="O101" s="10" t="n">
        <v>0.102827763496144</v>
      </c>
      <c r="P101" s="10" t="n">
        <v>0.137555328566565</v>
      </c>
      <c r="Q101" s="10" t="n">
        <v>-0.0485908649173955</v>
      </c>
      <c r="R101" s="10" t="n">
        <v>-0.010576923076923</v>
      </c>
      <c r="S101" s="10" t="n">
        <v>-0.00541919030921267</v>
      </c>
      <c r="T101" s="11" t="s">
        <v>35</v>
      </c>
      <c r="U101" s="11" t="s">
        <v>345</v>
      </c>
      <c r="V101" s="8" t="s">
        <v>43</v>
      </c>
      <c r="W101" s="12" t="n">
        <v>263.17</v>
      </c>
      <c r="X101" s="12" t="n">
        <v>307.22</v>
      </c>
      <c r="Y101" s="10" t="n">
        <f aca="false">IF(AND(ISNUMBER(W101),ISNUMBER(X101)),X101/W101-1,"")</f>
        <v>0.167382300414181</v>
      </c>
      <c r="Z101" s="10" t="n">
        <v>0.169672203146582</v>
      </c>
      <c r="AA101" s="10" t="n">
        <v>0.0630294815316841</v>
      </c>
      <c r="AB101" s="11" t="s">
        <v>35</v>
      </c>
      <c r="AC101" s="10" t="n">
        <f aca="false">IF(AND(ISNUMBER(N101),ISNUMBER(AA101)),N101-AA101,"")</f>
        <v>0.00200080217886733</v>
      </c>
    </row>
    <row r="102" customFormat="false" ht="15" hidden="false" customHeight="false" outlineLevel="0" collapsed="false">
      <c r="A102" s="8" t="s">
        <v>346</v>
      </c>
      <c r="B102" s="8" t="s">
        <v>347</v>
      </c>
      <c r="C102" s="8" t="s">
        <v>31</v>
      </c>
      <c r="D102" s="9" t="n">
        <v>2219.9</v>
      </c>
      <c r="E102" s="9" t="n">
        <v>1953.6</v>
      </c>
      <c r="F102" s="9" t="n">
        <v>1713.9</v>
      </c>
      <c r="G102" s="9" t="n">
        <v>1589.4</v>
      </c>
      <c r="H102" s="9" t="n">
        <v>2065.4</v>
      </c>
      <c r="I102" s="9" t="n">
        <v>546.3</v>
      </c>
      <c r="J102" s="9" t="n">
        <v>359.5</v>
      </c>
      <c r="K102" s="9" t="n">
        <v>206.1</v>
      </c>
      <c r="L102" s="9" t="n">
        <v>188.7</v>
      </c>
      <c r="M102" s="9" t="n">
        <v>498.7</v>
      </c>
      <c r="N102" s="10" t="n">
        <v>0.0748039120751429</v>
      </c>
      <c r="O102" s="10" t="n">
        <v>0.0954481652295969</v>
      </c>
      <c r="P102" s="10" t="n">
        <v>0.136312448812449</v>
      </c>
      <c r="Q102" s="10" t="n">
        <v>0.139856467705234</v>
      </c>
      <c r="R102" s="10" t="n">
        <v>0.0783314458286146</v>
      </c>
      <c r="S102" s="10" t="n">
        <v>-0.230463832671638</v>
      </c>
      <c r="T102" s="11" t="s">
        <v>35</v>
      </c>
      <c r="U102" s="11" t="s">
        <v>348</v>
      </c>
      <c r="V102" s="8" t="s">
        <v>47</v>
      </c>
      <c r="W102" s="12" t="n">
        <v>236.01</v>
      </c>
      <c r="X102" s="12" t="n">
        <v>163.45</v>
      </c>
      <c r="Y102" s="10" t="n">
        <f aca="false">IF(AND(ISNUMBER(W102),ISNUMBER(X102)),X102/W102-1,"")</f>
        <v>-0.307444599805093</v>
      </c>
      <c r="Z102" s="10" t="n">
        <v>-0.291616804086351</v>
      </c>
      <c r="AA102" s="10" t="n">
        <v>0.0622846268579951</v>
      </c>
      <c r="AB102" s="8" t="s">
        <v>32</v>
      </c>
      <c r="AC102" s="10" t="n">
        <f aca="false">IF(AND(ISNUMBER(N102),ISNUMBER(AA102)),N102-AA102,"")</f>
        <v>0.0125192852171479</v>
      </c>
    </row>
    <row r="103" customFormat="false" ht="15" hidden="false" customHeight="false" outlineLevel="0" collapsed="false">
      <c r="A103" s="8" t="s">
        <v>349</v>
      </c>
      <c r="B103" s="8" t="s">
        <v>350</v>
      </c>
      <c r="C103" s="8" t="s">
        <v>38</v>
      </c>
      <c r="D103" s="9" t="n">
        <v>3410</v>
      </c>
      <c r="E103" s="9" t="n">
        <v>3002</v>
      </c>
      <c r="F103" s="9" t="n">
        <v>2594</v>
      </c>
      <c r="G103" s="9" t="n">
        <v>2474</v>
      </c>
      <c r="H103" s="9" t="n">
        <v>2536.3</v>
      </c>
      <c r="I103" s="9" t="n">
        <v>172</v>
      </c>
      <c r="J103" s="9" t="n">
        <v>-183</v>
      </c>
      <c r="K103" s="9" t="n">
        <v>397</v>
      </c>
      <c r="L103" s="9" t="n">
        <v>309</v>
      </c>
      <c r="M103" s="9" t="n">
        <v>497.2</v>
      </c>
      <c r="N103" s="10" t="n">
        <v>0.344478176871821</v>
      </c>
      <c r="O103" s="10" t="n">
        <v>-0.654062751407884</v>
      </c>
      <c r="P103" s="10" t="n">
        <v>0.135909393737508</v>
      </c>
      <c r="Q103" s="10" t="n">
        <v>0.157286044718581</v>
      </c>
      <c r="R103" s="10" t="n">
        <v>0.0485044462409054</v>
      </c>
      <c r="S103" s="10" t="n">
        <v>-0.0245633402988605</v>
      </c>
      <c r="T103" s="11" t="s">
        <v>35</v>
      </c>
      <c r="U103" s="11" t="s">
        <v>351</v>
      </c>
      <c r="V103" s="8" t="s">
        <v>34</v>
      </c>
      <c r="W103" s="12" t="n">
        <v>200.7</v>
      </c>
      <c r="X103" s="12" t="n">
        <v>393.3</v>
      </c>
      <c r="Y103" s="10" t="n">
        <f aca="false">IF(AND(ISNUMBER(W103),ISNUMBER(X103)),X103/W103-1,"")</f>
        <v>0.959641255605381</v>
      </c>
      <c r="Z103" s="10" t="n">
        <v>0.959641224580564</v>
      </c>
      <c r="AA103" s="10" t="n">
        <v>0.1583923270153</v>
      </c>
      <c r="AB103" s="11" t="s">
        <v>35</v>
      </c>
      <c r="AC103" s="10" t="n">
        <f aca="false">IF(AND(ISNUMBER(N103),ISNUMBER(AA103)),N103-AA103,"")</f>
        <v>0.186085849856521</v>
      </c>
    </row>
    <row r="104" customFormat="false" ht="15" hidden="false" customHeight="false" outlineLevel="0" collapsed="false">
      <c r="A104" s="8" t="s">
        <v>352</v>
      </c>
      <c r="B104" s="8" t="s">
        <v>353</v>
      </c>
      <c r="C104" s="8" t="s">
        <v>31</v>
      </c>
      <c r="D104" s="9" t="n">
        <v>2640.544</v>
      </c>
      <c r="E104" s="9" t="n">
        <v>2331.221</v>
      </c>
      <c r="F104" s="9" t="n">
        <v>2244.4</v>
      </c>
      <c r="G104" s="9" t="n">
        <v>2938.142</v>
      </c>
      <c r="H104" s="9" t="n">
        <v>2517.497</v>
      </c>
      <c r="I104" s="9" t="n">
        <v>363.327</v>
      </c>
      <c r="J104" s="9" t="n">
        <v>232.943</v>
      </c>
      <c r="K104" s="9" t="n">
        <v>186.641</v>
      </c>
      <c r="L104" s="9" t="n">
        <v>749.449</v>
      </c>
      <c r="M104" s="9" t="n">
        <v>423.836</v>
      </c>
      <c r="N104" s="10" t="n">
        <v>0.0488767216008599</v>
      </c>
      <c r="O104" s="10" t="n">
        <v>-0.142765126133693</v>
      </c>
      <c r="P104" s="10" t="n">
        <v>0.132687119753983</v>
      </c>
      <c r="Q104" s="10" t="n">
        <v>0.0386833897700945</v>
      </c>
      <c r="R104" s="10" t="n">
        <v>-0.236115885481369</v>
      </c>
      <c r="S104" s="10" t="n">
        <v>0.167088580443194</v>
      </c>
      <c r="T104" s="11" t="s">
        <v>35</v>
      </c>
      <c r="U104" s="11" t="s">
        <v>354</v>
      </c>
      <c r="V104" s="8" t="s">
        <v>43</v>
      </c>
      <c r="W104" s="12" t="n">
        <v>25.23</v>
      </c>
      <c r="X104" s="12" t="n">
        <v>14.18</v>
      </c>
      <c r="Y104" s="10" t="n">
        <f aca="false">IF(AND(ISNUMBER(W104),ISNUMBER(X104)),X104/W104-1,"")</f>
        <v>-0.437970669837495</v>
      </c>
      <c r="Z104" s="10" t="n">
        <v>-0.437970647544495</v>
      </c>
      <c r="AA104" s="10" t="n">
        <v>0.0611192788005186</v>
      </c>
      <c r="AB104" s="11" t="s">
        <v>35</v>
      </c>
      <c r="AC104" s="10" t="n">
        <f aca="false">IF(AND(ISNUMBER(N104),ISNUMBER(AA104)),N104-AA104,"")</f>
        <v>-0.0122425571996587</v>
      </c>
    </row>
    <row r="105" customFormat="false" ht="15" hidden="false" customHeight="false" outlineLevel="0" collapsed="false">
      <c r="A105" s="8" t="s">
        <v>355</v>
      </c>
      <c r="B105" s="8" t="s">
        <v>356</v>
      </c>
      <c r="C105" s="8" t="s">
        <v>65</v>
      </c>
      <c r="D105" s="9" t="n">
        <v>4840.95</v>
      </c>
      <c r="E105" s="9" t="n">
        <v>4274.098</v>
      </c>
      <c r="F105" s="9" t="n">
        <v>4628.63</v>
      </c>
      <c r="G105" s="9" t="n">
        <v>6242.726</v>
      </c>
      <c r="H105" s="9" t="n">
        <v>4464.339</v>
      </c>
      <c r="I105" s="9" t="n">
        <v>923.756</v>
      </c>
      <c r="J105" s="9" t="n">
        <v>698.456</v>
      </c>
      <c r="K105" s="9" t="n">
        <v>784.205</v>
      </c>
      <c r="L105" s="9" t="n">
        <v>1196.066</v>
      </c>
      <c r="M105" s="9" t="n">
        <v>866.174</v>
      </c>
      <c r="N105" s="10" t="n">
        <v>0.0843598570807458</v>
      </c>
      <c r="O105" s="10" t="n">
        <v>0.066478559735111</v>
      </c>
      <c r="P105" s="10" t="n">
        <v>0.132624942151537</v>
      </c>
      <c r="Q105" s="10" t="n">
        <v>-0.0765954504896698</v>
      </c>
      <c r="R105" s="10" t="n">
        <v>-0.258556278138749</v>
      </c>
      <c r="S105" s="10" t="n">
        <v>0.398353933247453</v>
      </c>
      <c r="T105" s="11" t="s">
        <v>35</v>
      </c>
      <c r="U105" s="11" t="s">
        <v>357</v>
      </c>
      <c r="V105" s="8" t="s">
        <v>43</v>
      </c>
      <c r="W105" s="12" t="n">
        <v>4176.8901</v>
      </c>
      <c r="X105" s="12" t="n">
        <v>2843.3401</v>
      </c>
      <c r="Y105" s="10" t="n">
        <f aca="false">IF(AND(ISNUMBER(W105),ISNUMBER(X105)),X105/W105-1,"")</f>
        <v>-0.31926863481517</v>
      </c>
      <c r="Z105" s="10" t="n">
        <v>-0.319268643698569</v>
      </c>
      <c r="AA105" s="10" t="n">
        <v>0.0540325370057975</v>
      </c>
      <c r="AB105" s="11" t="s">
        <v>35</v>
      </c>
      <c r="AC105" s="10" t="n">
        <f aca="false">IF(AND(ISNUMBER(N105),ISNUMBER(AA105)),N105-AA105,"")</f>
        <v>0.0303273200749483</v>
      </c>
    </row>
    <row r="106" customFormat="false" ht="15" hidden="false" customHeight="false" outlineLevel="0" collapsed="false">
      <c r="A106" s="8" t="s">
        <v>358</v>
      </c>
      <c r="B106" s="8" t="s">
        <v>359</v>
      </c>
      <c r="C106" s="8" t="s">
        <v>31</v>
      </c>
      <c r="D106" s="9" t="n">
        <v>16990</v>
      </c>
      <c r="E106" s="9" t="n">
        <v>15002</v>
      </c>
      <c r="F106" s="9" t="n">
        <v>16618</v>
      </c>
      <c r="G106" s="9" t="n">
        <v>15776</v>
      </c>
      <c r="H106" s="9" t="n">
        <v>15423</v>
      </c>
      <c r="I106" s="9" t="n">
        <v>6723</v>
      </c>
      <c r="J106" s="9" t="n">
        <v>4734</v>
      </c>
      <c r="K106" s="9" t="n">
        <v>5809</v>
      </c>
      <c r="L106" s="9" t="n">
        <v>4584</v>
      </c>
      <c r="M106" s="9" t="n">
        <v>5717</v>
      </c>
      <c r="N106" s="10" t="n">
        <v>0.101601504246904</v>
      </c>
      <c r="O106" s="10" t="n">
        <v>0.175966415952423</v>
      </c>
      <c r="P106" s="10" t="n">
        <v>0.132515664578056</v>
      </c>
      <c r="Q106" s="10" t="n">
        <v>-0.0972439523408353</v>
      </c>
      <c r="R106" s="10" t="n">
        <v>0.0533722109533468</v>
      </c>
      <c r="S106" s="10" t="n">
        <v>0.0228878947027167</v>
      </c>
      <c r="T106" s="11" t="s">
        <v>35</v>
      </c>
      <c r="U106" s="11" t="s">
        <v>360</v>
      </c>
      <c r="V106" s="8" t="s">
        <v>147</v>
      </c>
      <c r="W106" s="12" t="n">
        <v>219.99</v>
      </c>
      <c r="X106" s="12" t="n">
        <v>265.08</v>
      </c>
      <c r="Y106" s="10" t="n">
        <f aca="false">IF(AND(ISNUMBER(W106),ISNUMBER(X106)),X106/W106-1,"")</f>
        <v>0.204963861993727</v>
      </c>
      <c r="Z106" s="10" t="n">
        <v>0.242345205313307</v>
      </c>
      <c r="AA106" s="10" t="n">
        <v>0.066450006914673</v>
      </c>
      <c r="AB106" s="11" t="s">
        <v>35</v>
      </c>
      <c r="AC106" s="10" t="n">
        <f aca="false">IF(AND(ISNUMBER(N106),ISNUMBER(AA106)),N106-AA106,"")</f>
        <v>0.0351514973322312</v>
      </c>
    </row>
    <row r="107" customFormat="false" ht="15" hidden="false" customHeight="false" outlineLevel="0" collapsed="false">
      <c r="A107" s="8" t="s">
        <v>361</v>
      </c>
      <c r="B107" s="8" t="s">
        <v>362</v>
      </c>
      <c r="C107" s="8" t="s">
        <v>31</v>
      </c>
      <c r="D107" s="9" t="n">
        <v>1484.7</v>
      </c>
      <c r="E107" s="9" t="n">
        <v>1311.2</v>
      </c>
      <c r="F107" s="9" t="n">
        <v>1186</v>
      </c>
      <c r="G107" s="9" t="n">
        <v>1140.4</v>
      </c>
      <c r="H107" s="9" t="n">
        <v>1075.5</v>
      </c>
      <c r="I107" s="9" t="n">
        <v>355.7</v>
      </c>
      <c r="J107" s="9" t="n">
        <v>223.8</v>
      </c>
      <c r="K107" s="9" t="n">
        <v>156.5</v>
      </c>
      <c r="L107" s="9" t="n">
        <v>95.2</v>
      </c>
      <c r="M107" s="9" t="n">
        <v>54.3</v>
      </c>
      <c r="N107" s="10" t="n">
        <v>0.38047419804742</v>
      </c>
      <c r="O107" s="10" t="n">
        <v>5.55064456721915</v>
      </c>
      <c r="P107" s="10" t="n">
        <v>0.13232153752288</v>
      </c>
      <c r="Q107" s="10" t="n">
        <v>0.105564924114671</v>
      </c>
      <c r="R107" s="10" t="n">
        <v>0.0399859698351455</v>
      </c>
      <c r="S107" s="10" t="n">
        <v>0.0603440260344026</v>
      </c>
      <c r="T107" s="11" t="s">
        <v>35</v>
      </c>
      <c r="U107" s="11" t="s">
        <v>363</v>
      </c>
      <c r="V107" s="8" t="s">
        <v>34</v>
      </c>
      <c r="W107" s="12" t="n">
        <v>65.85</v>
      </c>
      <c r="X107" s="12" t="n">
        <v>75.53</v>
      </c>
      <c r="Y107" s="10" t="n">
        <f aca="false">IF(AND(ISNUMBER(W107),ISNUMBER(X107)),X107/W107-1,"")</f>
        <v>0.147000759301443</v>
      </c>
      <c r="Z107" s="10" t="n">
        <v>0.177043213756038</v>
      </c>
      <c r="AA107" s="10" t="n">
        <v>-0.133569644727302</v>
      </c>
      <c r="AB107" s="11" t="s">
        <v>35</v>
      </c>
      <c r="AC107" s="10" t="n">
        <f aca="false">IF(AND(ISNUMBER(N107),ISNUMBER(AA107)),N107-AA107,"")</f>
        <v>0.514043842774722</v>
      </c>
    </row>
    <row r="108" customFormat="false" ht="15" hidden="false" customHeight="false" outlineLevel="0" collapsed="false">
      <c r="A108" s="8" t="s">
        <v>364</v>
      </c>
      <c r="B108" s="8" t="s">
        <v>365</v>
      </c>
      <c r="C108" s="8" t="s">
        <v>31</v>
      </c>
      <c r="D108" s="9" t="n">
        <v>2996</v>
      </c>
      <c r="E108" s="9" t="n">
        <v>2646</v>
      </c>
      <c r="F108" s="9" t="n">
        <v>2739</v>
      </c>
      <c r="G108" s="9" t="n">
        <v>2704</v>
      </c>
      <c r="H108" s="9" t="n">
        <v>2469</v>
      </c>
      <c r="I108" s="9" t="n">
        <v>2566</v>
      </c>
      <c r="J108" s="9" t="n">
        <v>2266</v>
      </c>
      <c r="K108" s="9" t="n">
        <v>2397</v>
      </c>
      <c r="L108" s="9" t="n">
        <v>2359</v>
      </c>
      <c r="M108" s="9" t="n">
        <v>2094</v>
      </c>
      <c r="N108" s="10" t="n">
        <v>0.213446739570676</v>
      </c>
      <c r="O108" s="10" t="n">
        <v>0.225405921680993</v>
      </c>
      <c r="P108" s="10" t="n">
        <v>0.132275132275132</v>
      </c>
      <c r="Q108" s="10" t="n">
        <v>-0.0339539978094195</v>
      </c>
      <c r="R108" s="10" t="n">
        <v>0.0129437869822486</v>
      </c>
      <c r="S108" s="10" t="n">
        <v>0.0951802349129203</v>
      </c>
      <c r="T108" s="11" t="s">
        <v>35</v>
      </c>
      <c r="U108" s="11" t="s">
        <v>366</v>
      </c>
      <c r="V108" s="8" t="s">
        <v>51</v>
      </c>
      <c r="W108" s="12" t="n">
        <v>64.46</v>
      </c>
      <c r="X108" s="12" t="n">
        <v>91.56</v>
      </c>
      <c r="Y108" s="10" t="n">
        <f aca="false">IF(AND(ISNUMBER(W108),ISNUMBER(X108)),X108/W108-1,"")</f>
        <v>0.42041576171269</v>
      </c>
      <c r="Z108" s="10" t="n">
        <v>0.426425405949267</v>
      </c>
      <c r="AA108" s="10" t="n">
        <v>0.219409282700422</v>
      </c>
      <c r="AB108" s="8"/>
      <c r="AC108" s="10" t="n">
        <f aca="false">IF(AND(ISNUMBER(N108),ISNUMBER(AA108)),N108-AA108,"")</f>
        <v>-0.00596254312974559</v>
      </c>
    </row>
    <row r="109" customFormat="false" ht="15" hidden="false" customHeight="false" outlineLevel="0" collapsed="false">
      <c r="A109" s="8" t="s">
        <v>367</v>
      </c>
      <c r="B109" s="8" t="s">
        <v>368</v>
      </c>
      <c r="C109" s="8" t="s">
        <v>31</v>
      </c>
      <c r="D109" s="9" t="n">
        <v>5463</v>
      </c>
      <c r="E109" s="9" t="n">
        <v>4825</v>
      </c>
      <c r="F109" s="9" t="n">
        <v>4423</v>
      </c>
      <c r="G109" s="9" t="n">
        <v>4742</v>
      </c>
      <c r="H109" s="9" t="n">
        <v>4448</v>
      </c>
      <c r="I109" s="9" t="n">
        <v>2327</v>
      </c>
      <c r="J109" s="9" t="n">
        <v>1825</v>
      </c>
      <c r="K109" s="9" t="n">
        <v>1505</v>
      </c>
      <c r="L109" s="9" t="n">
        <v>1748</v>
      </c>
      <c r="M109" s="9" t="n">
        <v>1563</v>
      </c>
      <c r="N109" s="10" t="n">
        <v>0.228192446043166</v>
      </c>
      <c r="O109" s="10" t="n">
        <v>0.488803582853487</v>
      </c>
      <c r="P109" s="10" t="n">
        <v>0.132227979274612</v>
      </c>
      <c r="Q109" s="10" t="n">
        <v>0.0908885371919512</v>
      </c>
      <c r="R109" s="10" t="n">
        <v>-0.0672711935892029</v>
      </c>
      <c r="S109" s="10" t="n">
        <v>0.0660971223021583</v>
      </c>
      <c r="T109" s="11" t="s">
        <v>35</v>
      </c>
      <c r="U109" s="11" t="s">
        <v>369</v>
      </c>
      <c r="V109" s="8" t="s">
        <v>34</v>
      </c>
      <c r="W109" s="12" t="n">
        <v>184.44</v>
      </c>
      <c r="X109" s="12" t="n">
        <v>272.62</v>
      </c>
      <c r="Y109" s="10" t="n">
        <f aca="false">IF(AND(ISNUMBER(W109),ISNUMBER(X109)),X109/W109-1,"")</f>
        <v>0.478095857731512</v>
      </c>
      <c r="Z109" s="10" t="n">
        <v>0.516374177879218</v>
      </c>
      <c r="AA109" s="10" t="n">
        <v>0.163788592360021</v>
      </c>
      <c r="AB109" s="8"/>
      <c r="AC109" s="10" t="n">
        <f aca="false">IF(AND(ISNUMBER(N109),ISNUMBER(AA109)),N109-AA109,"")</f>
        <v>0.0644038536831446</v>
      </c>
    </row>
    <row r="110" customFormat="false" ht="15" hidden="false" customHeight="false" outlineLevel="0" collapsed="false">
      <c r="A110" s="8" t="s">
        <v>370</v>
      </c>
      <c r="B110" s="8" t="s">
        <v>371</v>
      </c>
      <c r="C110" s="8" t="s">
        <v>31</v>
      </c>
      <c r="D110" s="9" t="n">
        <v>3935</v>
      </c>
      <c r="E110" s="9" t="n">
        <v>3482</v>
      </c>
      <c r="F110" s="9" t="n">
        <v>3508</v>
      </c>
      <c r="G110" s="9" t="n">
        <v>3587</v>
      </c>
      <c r="H110" s="9" t="n">
        <v>3574</v>
      </c>
      <c r="I110" s="9" t="n">
        <v>1506</v>
      </c>
      <c r="J110" s="9" t="n">
        <v>1253</v>
      </c>
      <c r="K110" s="9" t="n">
        <v>1143</v>
      </c>
      <c r="L110" s="9" t="n">
        <v>1251</v>
      </c>
      <c r="M110" s="9" t="n">
        <v>1283</v>
      </c>
      <c r="N110" s="10" t="n">
        <v>0.101007274762171</v>
      </c>
      <c r="O110" s="10" t="n">
        <v>0.173811379579111</v>
      </c>
      <c r="P110" s="10" t="n">
        <v>0.130097645031591</v>
      </c>
      <c r="Q110" s="10" t="n">
        <v>-0.00741163055872296</v>
      </c>
      <c r="R110" s="10" t="n">
        <v>-0.022023975466964</v>
      </c>
      <c r="S110" s="10" t="n">
        <v>0.00363738108561829</v>
      </c>
      <c r="T110" s="11" t="s">
        <v>35</v>
      </c>
      <c r="U110" s="11" t="s">
        <v>312</v>
      </c>
      <c r="V110" s="8" t="s">
        <v>47</v>
      </c>
      <c r="W110" s="12" t="n">
        <v>33.82</v>
      </c>
      <c r="X110" s="12" t="n">
        <v>47.19</v>
      </c>
      <c r="Y110" s="10" t="n">
        <f aca="false">IF(AND(ISNUMBER(W110),ISNUMBER(X110)),X110/W110-1,"")</f>
        <v>0.395328208160852</v>
      </c>
      <c r="Z110" s="10" t="n">
        <v>0.413263795304024</v>
      </c>
      <c r="AA110" s="10" t="n">
        <v>-0.0343150499864902</v>
      </c>
      <c r="AB110" s="8"/>
      <c r="AC110" s="10" t="n">
        <f aca="false">IF(AND(ISNUMBER(N110),ISNUMBER(AA110)),N110-AA110,"")</f>
        <v>0.135322324748661</v>
      </c>
    </row>
    <row r="111" customFormat="false" ht="15" hidden="false" customHeight="false" outlineLevel="0" collapsed="false">
      <c r="A111" s="8" t="s">
        <v>372</v>
      </c>
      <c r="B111" s="8" t="s">
        <v>373</v>
      </c>
      <c r="C111" s="8" t="s">
        <v>31</v>
      </c>
      <c r="D111" s="9" t="n">
        <v>12973</v>
      </c>
      <c r="E111" s="9" t="n">
        <v>11489</v>
      </c>
      <c r="F111" s="9" t="n">
        <v>12503</v>
      </c>
      <c r="G111" s="9" t="n">
        <v>12222</v>
      </c>
      <c r="H111" s="9" t="n">
        <v>12269</v>
      </c>
      <c r="I111" s="9" t="n">
        <v>4025</v>
      </c>
      <c r="J111" s="9" t="n">
        <v>3365</v>
      </c>
      <c r="K111" s="9" t="n">
        <v>2813</v>
      </c>
      <c r="L111" s="9" t="n">
        <v>3639</v>
      </c>
      <c r="M111" s="9" t="n">
        <v>3774</v>
      </c>
      <c r="N111" s="10" t="n">
        <v>0.0573803895998044</v>
      </c>
      <c r="O111" s="10" t="n">
        <v>0.066507684154743</v>
      </c>
      <c r="P111" s="10" t="n">
        <v>0.129167029332405</v>
      </c>
      <c r="Q111" s="10" t="n">
        <v>-0.0811005358713909</v>
      </c>
      <c r="R111" s="10" t="n">
        <v>0.0229913271150384</v>
      </c>
      <c r="S111" s="10" t="n">
        <v>-0.0038307930556688</v>
      </c>
      <c r="T111" s="11" t="s">
        <v>35</v>
      </c>
      <c r="U111" s="11" t="s">
        <v>374</v>
      </c>
      <c r="V111" s="8" t="s">
        <v>147</v>
      </c>
      <c r="W111" s="12" t="n">
        <v>44.16</v>
      </c>
      <c r="X111" s="12" t="n">
        <v>61.15</v>
      </c>
      <c r="Y111" s="10" t="n">
        <f aca="false">IF(AND(ISNUMBER(W111),ISNUMBER(X111)),X111/W111-1,"")</f>
        <v>0.38473731884058</v>
      </c>
      <c r="Z111" s="10" t="n">
        <v>0.451202747616508</v>
      </c>
      <c r="AA111" s="10" t="n">
        <v>0.00557331366281444</v>
      </c>
      <c r="AB111" s="8"/>
      <c r="AC111" s="10" t="n">
        <f aca="false">IF(AND(ISNUMBER(N111),ISNUMBER(AA111)),N111-AA111,"")</f>
        <v>0.05180707593699</v>
      </c>
    </row>
    <row r="112" customFormat="false" ht="15" hidden="false" customHeight="false" outlineLevel="0" collapsed="false">
      <c r="A112" s="8" t="s">
        <v>375</v>
      </c>
      <c r="B112" s="8" t="s">
        <v>376</v>
      </c>
      <c r="C112" s="8" t="s">
        <v>31</v>
      </c>
      <c r="D112" s="9" t="n">
        <v>1711.8</v>
      </c>
      <c r="E112" s="9" t="n">
        <v>1516.7</v>
      </c>
      <c r="F112" s="9" t="n">
        <v>1492.7</v>
      </c>
      <c r="G112" s="9" t="n">
        <v>1502.4</v>
      </c>
      <c r="H112" s="9" t="n">
        <v>1484.3</v>
      </c>
      <c r="I112" s="9" t="n">
        <v>348.6</v>
      </c>
      <c r="J112" s="9" t="n">
        <v>263.8</v>
      </c>
      <c r="K112" s="9" t="n">
        <v>311.5</v>
      </c>
      <c r="L112" s="9" t="n">
        <v>330.6</v>
      </c>
      <c r="M112" s="9" t="n">
        <v>336.3</v>
      </c>
      <c r="N112" s="10" t="n">
        <v>0.153270902108738</v>
      </c>
      <c r="O112" s="10" t="n">
        <v>0.0365744870651203</v>
      </c>
      <c r="P112" s="10" t="n">
        <v>0.128634535504714</v>
      </c>
      <c r="Q112" s="10" t="n">
        <v>0.0160782474710257</v>
      </c>
      <c r="R112" s="10" t="n">
        <v>-0.00645633652822153</v>
      </c>
      <c r="S112" s="10" t="n">
        <v>0.0121943003435963</v>
      </c>
      <c r="T112" s="11" t="s">
        <v>35</v>
      </c>
      <c r="U112" s="11" t="s">
        <v>377</v>
      </c>
      <c r="V112" s="8" t="s">
        <v>47</v>
      </c>
      <c r="W112" s="12" t="n">
        <v>431.16</v>
      </c>
      <c r="X112" s="12" t="n">
        <v>463.7</v>
      </c>
      <c r="Y112" s="10" t="n">
        <f aca="false">IF(AND(ISNUMBER(W112),ISNUMBER(X112)),X112/W112-1,"")</f>
        <v>0.0754708228963725</v>
      </c>
      <c r="Z112" s="10" t="n">
        <v>0.0885924318558746</v>
      </c>
      <c r="AA112" s="10" t="n">
        <v>0.021893287435456</v>
      </c>
      <c r="AB112" s="8"/>
      <c r="AC112" s="10" t="n">
        <f aca="false">IF(AND(ISNUMBER(N112),ISNUMBER(AA112)),N112-AA112,"")</f>
        <v>0.131377614673282</v>
      </c>
    </row>
    <row r="113" customFormat="false" ht="15" hidden="false" customHeight="false" outlineLevel="0" collapsed="false">
      <c r="A113" s="8" t="s">
        <v>378</v>
      </c>
      <c r="B113" s="8" t="s">
        <v>379</v>
      </c>
      <c r="C113" s="8" t="s">
        <v>31</v>
      </c>
      <c r="D113" s="9" t="n">
        <v>7029</v>
      </c>
      <c r="E113" s="9" t="n">
        <v>6234</v>
      </c>
      <c r="F113" s="9" t="n">
        <v>5633</v>
      </c>
      <c r="G113" s="9" t="n">
        <v>6972</v>
      </c>
      <c r="H113" s="9" t="n">
        <v>7582</v>
      </c>
      <c r="I113" s="9" t="n">
        <v>1985</v>
      </c>
      <c r="J113" s="9" t="n">
        <v>1438</v>
      </c>
      <c r="K113" s="9" t="n">
        <v>811</v>
      </c>
      <c r="L113" s="9" t="n">
        <v>1956</v>
      </c>
      <c r="M113" s="9" t="n">
        <v>2432</v>
      </c>
      <c r="N113" s="10" t="n">
        <v>-0.0729359008177262</v>
      </c>
      <c r="O113" s="10" t="n">
        <v>-0.183799342105263</v>
      </c>
      <c r="P113" s="10" t="n">
        <v>0.127526467757459</v>
      </c>
      <c r="Q113" s="10" t="n">
        <v>0.106692703710279</v>
      </c>
      <c r="R113" s="10" t="n">
        <v>-0.192053930005737</v>
      </c>
      <c r="S113" s="10" t="n">
        <v>-0.0804537061461356</v>
      </c>
      <c r="T113" s="11" t="s">
        <v>35</v>
      </c>
      <c r="U113" s="11" t="s">
        <v>380</v>
      </c>
      <c r="V113" s="8" t="s">
        <v>104</v>
      </c>
      <c r="W113" s="12" t="n">
        <v>37.67</v>
      </c>
      <c r="X113" s="12" t="n">
        <v>72.58</v>
      </c>
      <c r="Y113" s="10" t="n">
        <f aca="false">IF(AND(ISNUMBER(W113),ISNUMBER(X113)),X113/W113-1,"")</f>
        <v>0.926732147597558</v>
      </c>
      <c r="Z113" s="10" t="n">
        <v>0.947444896261347</v>
      </c>
      <c r="AA113" s="10" t="n">
        <v>0.144625603864734</v>
      </c>
      <c r="AB113" s="11" t="s">
        <v>35</v>
      </c>
      <c r="AC113" s="10" t="n">
        <f aca="false">IF(AND(ISNUMBER(N113),ISNUMBER(AA113)),N113-AA113,"")</f>
        <v>-0.21756150468246</v>
      </c>
    </row>
    <row r="114" customFormat="false" ht="15" hidden="false" customHeight="false" outlineLevel="0" collapsed="false">
      <c r="A114" s="8" t="s">
        <v>381</v>
      </c>
      <c r="B114" s="8" t="s">
        <v>382</v>
      </c>
      <c r="C114" s="8" t="s">
        <v>38</v>
      </c>
      <c r="D114" s="9" t="n">
        <v>1185.898</v>
      </c>
      <c r="E114" s="9" t="n">
        <v>1052.896</v>
      </c>
      <c r="F114" s="9" t="n">
        <v>1058.903</v>
      </c>
      <c r="G114" s="9" t="n">
        <v>964.453</v>
      </c>
      <c r="H114" s="9" t="n">
        <v>861.002</v>
      </c>
      <c r="I114" s="9" t="n">
        <v>63.155</v>
      </c>
      <c r="J114" s="9" t="n">
        <v>19.939</v>
      </c>
      <c r="K114" s="9" t="n">
        <v>87.198</v>
      </c>
      <c r="L114" s="9" t="n">
        <v>53.918</v>
      </c>
      <c r="M114" s="9" t="n">
        <v>4.871</v>
      </c>
      <c r="N114" s="10" t="n">
        <v>0.377346394085031</v>
      </c>
      <c r="O114" s="10" t="n">
        <v>11.9655101621844</v>
      </c>
      <c r="P114" s="10" t="n">
        <v>0.126320168373705</v>
      </c>
      <c r="Q114" s="10" t="n">
        <v>-0.00567285199871948</v>
      </c>
      <c r="R114" s="10" t="n">
        <v>0.097931158905618</v>
      </c>
      <c r="S114" s="10" t="n">
        <v>0.120151869565924</v>
      </c>
      <c r="T114" s="11" t="s">
        <v>35</v>
      </c>
      <c r="U114" s="11" t="s">
        <v>383</v>
      </c>
      <c r="V114" s="8" t="s">
        <v>34</v>
      </c>
      <c r="W114" s="12" t="n">
        <v>84.85</v>
      </c>
      <c r="X114" s="12" t="n">
        <v>109.65</v>
      </c>
      <c r="Y114" s="10" t="n">
        <f aca="false">IF(AND(ISNUMBER(W114),ISNUMBER(X114)),X114/W114-1,"")</f>
        <v>0.292280494991161</v>
      </c>
      <c r="Z114" s="10" t="n">
        <v>0.292280536213819</v>
      </c>
      <c r="AA114" s="10" t="n">
        <v>0.127303864640056</v>
      </c>
      <c r="AB114" s="11" t="s">
        <v>35</v>
      </c>
      <c r="AC114" s="10" t="n">
        <f aca="false">IF(AND(ISNUMBER(N114),ISNUMBER(AA114)),N114-AA114,"")</f>
        <v>0.250042529444976</v>
      </c>
    </row>
    <row r="115" customFormat="false" ht="15" hidden="false" customHeight="false" outlineLevel="0" collapsed="false">
      <c r="A115" s="8" t="s">
        <v>384</v>
      </c>
      <c r="B115" s="8" t="s">
        <v>385</v>
      </c>
      <c r="C115" s="8" t="s">
        <v>31</v>
      </c>
      <c r="D115" s="9" t="n">
        <v>9457</v>
      </c>
      <c r="E115" s="9" t="n">
        <v>8398</v>
      </c>
      <c r="F115" s="9" t="n">
        <v>8536</v>
      </c>
      <c r="G115" s="9" t="n">
        <v>8317</v>
      </c>
      <c r="H115" s="9" t="n">
        <v>8643</v>
      </c>
      <c r="I115" s="9" t="n">
        <v>1125</v>
      </c>
      <c r="J115" s="9" t="n">
        <v>1000</v>
      </c>
      <c r="K115" s="9" t="n">
        <v>781</v>
      </c>
      <c r="L115" s="9" t="n">
        <v>962</v>
      </c>
      <c r="M115" s="9" t="n">
        <v>1108</v>
      </c>
      <c r="N115" s="10" t="n">
        <v>0.0941802614832812</v>
      </c>
      <c r="O115" s="10" t="n">
        <v>0.0153429602888087</v>
      </c>
      <c r="P115" s="10" t="n">
        <v>0.12610145272684</v>
      </c>
      <c r="Q115" s="10" t="n">
        <v>-0.0161668228678538</v>
      </c>
      <c r="R115" s="10" t="n">
        <v>0.0263316099555129</v>
      </c>
      <c r="S115" s="10" t="n">
        <v>-0.0377183848200856</v>
      </c>
      <c r="T115" s="11" t="s">
        <v>35</v>
      </c>
      <c r="U115" s="11" t="s">
        <v>386</v>
      </c>
      <c r="V115" s="8" t="s">
        <v>47</v>
      </c>
      <c r="W115" s="12" t="n">
        <v>417.98</v>
      </c>
      <c r="X115" s="12" t="n">
        <v>524.65</v>
      </c>
      <c r="Y115" s="10" t="n">
        <f aca="false">IF(AND(ISNUMBER(W115),ISNUMBER(X115)),X115/W115-1,"")</f>
        <v>0.25520359825829</v>
      </c>
      <c r="Z115" s="10" t="n">
        <v>0.273557099243291</v>
      </c>
      <c r="AA115" s="10" t="n">
        <v>-0.0173942701227831</v>
      </c>
      <c r="AB115" s="8"/>
      <c r="AC115" s="10" t="n">
        <f aca="false">IF(AND(ISNUMBER(N115),ISNUMBER(AA115)),N115-AA115,"")</f>
        <v>0.111574531606064</v>
      </c>
    </row>
    <row r="116" customFormat="false" ht="15" hidden="false" customHeight="false" outlineLevel="0" collapsed="false">
      <c r="A116" s="8" t="s">
        <v>387</v>
      </c>
      <c r="B116" s="8" t="s">
        <v>388</v>
      </c>
      <c r="C116" s="8" t="s">
        <v>31</v>
      </c>
      <c r="D116" s="9" t="n">
        <v>5356</v>
      </c>
      <c r="E116" s="9" t="n">
        <v>4758</v>
      </c>
      <c r="F116" s="9" t="n">
        <v>5079</v>
      </c>
      <c r="G116" s="9" t="n">
        <v>5251</v>
      </c>
      <c r="H116" s="9" t="n">
        <v>5290</v>
      </c>
      <c r="I116" s="9" t="n">
        <v>3157</v>
      </c>
      <c r="J116" s="9" t="n">
        <v>2956</v>
      </c>
      <c r="K116" s="9" t="n">
        <v>2911</v>
      </c>
      <c r="L116" s="9" t="n">
        <v>3232</v>
      </c>
      <c r="M116" s="9" t="n">
        <v>3231</v>
      </c>
      <c r="N116" s="10" t="n">
        <v>0.012476370510397</v>
      </c>
      <c r="O116" s="10" t="n">
        <v>-0.0229031259671928</v>
      </c>
      <c r="P116" s="10" t="n">
        <v>0.12568306010929</v>
      </c>
      <c r="Q116" s="10" t="n">
        <v>-0.0632014176018901</v>
      </c>
      <c r="R116" s="10" t="n">
        <v>-0.0327556655875071</v>
      </c>
      <c r="S116" s="10" t="n">
        <v>-0.00737240075614365</v>
      </c>
      <c r="T116" s="11" t="s">
        <v>35</v>
      </c>
      <c r="U116" s="11" t="s">
        <v>389</v>
      </c>
      <c r="V116" s="8" t="s">
        <v>84</v>
      </c>
      <c r="W116" s="12" t="n">
        <v>65.13</v>
      </c>
      <c r="X116" s="12" t="n">
        <v>68.95</v>
      </c>
      <c r="Y116" s="10" t="n">
        <f aca="false">IF(AND(ISNUMBER(W116),ISNUMBER(X116)),X116/W116-1,"")</f>
        <v>0.0586519269154</v>
      </c>
      <c r="Z116" s="10" t="n">
        <v>0.130249645288956</v>
      </c>
      <c r="AA116" s="10" t="n">
        <v>-0.0172330488001289</v>
      </c>
      <c r="AB116" s="11" t="s">
        <v>35</v>
      </c>
      <c r="AC116" s="10" t="n">
        <f aca="false">IF(AND(ISNUMBER(N116),ISNUMBER(AA116)),N116-AA116,"")</f>
        <v>0.0297094193105258</v>
      </c>
    </row>
    <row r="117" customFormat="false" ht="15" hidden="false" customHeight="false" outlineLevel="0" collapsed="false">
      <c r="A117" s="8" t="s">
        <v>390</v>
      </c>
      <c r="B117" s="8" t="s">
        <v>391</v>
      </c>
      <c r="C117" s="8" t="s">
        <v>31</v>
      </c>
      <c r="D117" s="9" t="n">
        <v>11536</v>
      </c>
      <c r="E117" s="9" t="n">
        <v>10253</v>
      </c>
      <c r="F117" s="9" t="n">
        <v>10270</v>
      </c>
      <c r="G117" s="9" t="n">
        <v>9246</v>
      </c>
      <c r="H117" s="9" t="n">
        <v>7685</v>
      </c>
      <c r="I117" s="9" t="n">
        <v>1990</v>
      </c>
      <c r="J117" s="9" t="n">
        <v>1476</v>
      </c>
      <c r="K117" s="9" t="n">
        <v>1752</v>
      </c>
      <c r="L117" s="9" t="n">
        <v>1270</v>
      </c>
      <c r="M117" s="9" t="n">
        <v>-134</v>
      </c>
      <c r="N117" s="10" t="n">
        <v>0.501106050748211</v>
      </c>
      <c r="O117" s="13" t="s">
        <v>110</v>
      </c>
      <c r="P117" s="10" t="n">
        <v>0.125134107090608</v>
      </c>
      <c r="Q117" s="10" t="n">
        <v>-0.00165530671859782</v>
      </c>
      <c r="R117" s="10" t="n">
        <v>0.110750594851828</v>
      </c>
      <c r="S117" s="10" t="n">
        <v>0.203122966818478</v>
      </c>
      <c r="T117" s="11" t="s">
        <v>35</v>
      </c>
      <c r="U117" s="8" t="s">
        <v>392</v>
      </c>
      <c r="V117" s="8" t="s">
        <v>34</v>
      </c>
      <c r="W117" s="12" t="n">
        <v>160.88</v>
      </c>
      <c r="X117" s="12" t="n">
        <v>614.61</v>
      </c>
      <c r="Y117" s="10" t="n">
        <f aca="false">IF(AND(ISNUMBER(W117),ISNUMBER(X117)),X117/W117-1,"")</f>
        <v>2.82030084535057</v>
      </c>
      <c r="Z117" s="10" t="n">
        <v>2.82030063835002</v>
      </c>
      <c r="AA117" s="10" t="n">
        <v>0.317052270779777</v>
      </c>
      <c r="AB117" s="8"/>
      <c r="AC117" s="10" t="n">
        <f aca="false">IF(AND(ISNUMBER(N117),ISNUMBER(AA117)),N117-AA117,"")</f>
        <v>0.184053779968434</v>
      </c>
    </row>
    <row r="118" customFormat="false" ht="15" hidden="false" customHeight="false" outlineLevel="0" collapsed="false">
      <c r="A118" s="8" t="s">
        <v>393</v>
      </c>
      <c r="B118" s="8" t="s">
        <v>394</v>
      </c>
      <c r="C118" s="8" t="s">
        <v>31</v>
      </c>
      <c r="D118" s="9" t="n">
        <v>7534</v>
      </c>
      <c r="E118" s="9" t="n">
        <v>6701</v>
      </c>
      <c r="F118" s="9" t="n">
        <v>6500</v>
      </c>
      <c r="G118" s="9" t="n">
        <v>7966</v>
      </c>
      <c r="H118" s="9" t="n">
        <v>6700</v>
      </c>
      <c r="I118" s="9" t="n">
        <v>2277</v>
      </c>
      <c r="J118" s="9" t="n">
        <v>1951</v>
      </c>
      <c r="K118" s="9" t="n">
        <v>1523</v>
      </c>
      <c r="L118" s="9" t="n">
        <v>2384</v>
      </c>
      <c r="M118" s="9" t="n">
        <v>1893</v>
      </c>
      <c r="N118" s="10" t="n">
        <v>0.124477611940299</v>
      </c>
      <c r="O118" s="10" t="n">
        <v>0.202852614896989</v>
      </c>
      <c r="P118" s="10" t="n">
        <v>0.12430980450679</v>
      </c>
      <c r="Q118" s="10" t="n">
        <v>0.0309230769230768</v>
      </c>
      <c r="R118" s="10" t="n">
        <v>-0.184032136580467</v>
      </c>
      <c r="S118" s="10" t="n">
        <v>0.188955223880597</v>
      </c>
      <c r="T118" s="11" t="s">
        <v>35</v>
      </c>
      <c r="U118" s="11" t="s">
        <v>395</v>
      </c>
      <c r="V118" s="8" t="s">
        <v>134</v>
      </c>
      <c r="W118" s="12" t="n">
        <v>73.83</v>
      </c>
      <c r="X118" s="12" t="n">
        <v>77.02</v>
      </c>
      <c r="Y118" s="10" t="n">
        <f aca="false">IF(AND(ISNUMBER(W118),ISNUMBER(X118)),X118/W118-1,"")</f>
        <v>0.0432073682784775</v>
      </c>
      <c r="Z118" s="10" t="n">
        <v>0.0731878782672961</v>
      </c>
      <c r="AA118" s="10" t="n">
        <v>0.0666666666666667</v>
      </c>
      <c r="AB118" s="8"/>
      <c r="AC118" s="10" t="n">
        <f aca="false">IF(AND(ISNUMBER(N118),ISNUMBER(AA118)),N118-AA118,"")</f>
        <v>0.057810945273632</v>
      </c>
    </row>
    <row r="119" customFormat="false" ht="15" hidden="false" customHeight="false" outlineLevel="0" collapsed="false">
      <c r="A119" s="8" t="s">
        <v>396</v>
      </c>
      <c r="B119" s="8" t="s">
        <v>397</v>
      </c>
      <c r="C119" s="8" t="s">
        <v>31</v>
      </c>
      <c r="D119" s="9" t="n">
        <v>3747</v>
      </c>
      <c r="E119" s="9" t="n">
        <v>3337</v>
      </c>
      <c r="F119" s="9" t="n">
        <v>3017</v>
      </c>
      <c r="G119" s="9" t="n">
        <v>2818</v>
      </c>
      <c r="H119" s="9" t="n">
        <v>2605</v>
      </c>
      <c r="I119" s="9" t="n">
        <v>1606</v>
      </c>
      <c r="J119" s="9" t="n">
        <v>1235</v>
      </c>
      <c r="K119" s="9" t="n">
        <v>963</v>
      </c>
      <c r="L119" s="9" t="n">
        <v>795</v>
      </c>
      <c r="M119" s="9" t="n">
        <v>681</v>
      </c>
      <c r="N119" s="10" t="n">
        <v>0.438387715930902</v>
      </c>
      <c r="O119" s="10" t="n">
        <v>1.3582966226138</v>
      </c>
      <c r="P119" s="10" t="n">
        <v>0.122864848666467</v>
      </c>
      <c r="Q119" s="10" t="n">
        <v>0.106065628107392</v>
      </c>
      <c r="R119" s="10" t="n">
        <v>0.0706174591909154</v>
      </c>
      <c r="S119" s="10" t="n">
        <v>0.0817658349328214</v>
      </c>
      <c r="T119" s="11" t="s">
        <v>35</v>
      </c>
      <c r="U119" s="11" t="s">
        <v>398</v>
      </c>
      <c r="V119" s="8" t="s">
        <v>34</v>
      </c>
      <c r="W119" s="12" t="n">
        <v>109.69</v>
      </c>
      <c r="X119" s="12" t="n">
        <v>473.69</v>
      </c>
      <c r="Y119" s="10" t="n">
        <f aca="false">IF(AND(ISNUMBER(W119),ISNUMBER(X119)),X119/W119-1,"")</f>
        <v>3.31844288449266</v>
      </c>
      <c r="Z119" s="10" t="n">
        <v>3.32649920044687</v>
      </c>
      <c r="AA119" s="10" t="n">
        <v>0.299900199600798</v>
      </c>
      <c r="AB119" s="11" t="s">
        <v>35</v>
      </c>
      <c r="AC119" s="10" t="n">
        <f aca="false">IF(AND(ISNUMBER(N119),ISNUMBER(AA119)),N119-AA119,"")</f>
        <v>0.138487516330104</v>
      </c>
    </row>
    <row r="120" customFormat="false" ht="15" hidden="false" customHeight="false" outlineLevel="0" collapsed="false">
      <c r="A120" s="8" t="s">
        <v>399</v>
      </c>
      <c r="B120" s="8" t="s">
        <v>400</v>
      </c>
      <c r="C120" s="8" t="s">
        <v>31</v>
      </c>
      <c r="D120" s="9" t="n">
        <v>1355</v>
      </c>
      <c r="E120" s="9" t="n">
        <v>1207</v>
      </c>
      <c r="F120" s="9" t="n">
        <v>1271</v>
      </c>
      <c r="G120" s="9" t="n">
        <v>1451</v>
      </c>
      <c r="H120" s="9" t="n">
        <v>1276</v>
      </c>
      <c r="I120" s="9" t="n">
        <v>542</v>
      </c>
      <c r="J120" s="9" t="n">
        <v>391</v>
      </c>
      <c r="K120" s="9" t="n">
        <v>405</v>
      </c>
      <c r="L120" s="9" t="n">
        <v>614</v>
      </c>
      <c r="M120" s="9" t="n">
        <v>489</v>
      </c>
      <c r="N120" s="10" t="n">
        <v>0.0619122257053291</v>
      </c>
      <c r="O120" s="10" t="n">
        <v>0.10838445807771</v>
      </c>
      <c r="P120" s="10" t="n">
        <v>0.122618061309031</v>
      </c>
      <c r="Q120" s="10" t="n">
        <v>-0.0503540519276161</v>
      </c>
      <c r="R120" s="10" t="n">
        <v>-0.124052377670572</v>
      </c>
      <c r="S120" s="10" t="n">
        <v>0.137147335423198</v>
      </c>
      <c r="T120" s="11" t="s">
        <v>35</v>
      </c>
      <c r="U120" s="11" t="s">
        <v>401</v>
      </c>
      <c r="V120" s="8" t="s">
        <v>134</v>
      </c>
      <c r="W120" s="12" t="n">
        <v>136.41</v>
      </c>
      <c r="X120" s="12" t="n">
        <v>133.06</v>
      </c>
      <c r="Y120" s="10" t="n">
        <f aca="false">IF(AND(ISNUMBER(W120),ISNUMBER(X120)),X120/W120-1,"")</f>
        <v>-0.0245583168389414</v>
      </c>
      <c r="Z120" s="10" t="n">
        <v>0.00205277743176668</v>
      </c>
      <c r="AA120" s="10" t="n">
        <v>0.11578947368421</v>
      </c>
      <c r="AB120" s="8"/>
      <c r="AC120" s="10" t="n">
        <f aca="false">IF(AND(ISNUMBER(N120),ISNUMBER(AA120)),N120-AA120,"")</f>
        <v>-0.0538772479788813</v>
      </c>
    </row>
    <row r="121" customFormat="false" ht="15" hidden="false" customHeight="false" outlineLevel="0" collapsed="false">
      <c r="A121" s="8" t="s">
        <v>402</v>
      </c>
      <c r="B121" s="8" t="s">
        <v>403</v>
      </c>
      <c r="C121" s="8" t="s">
        <v>31</v>
      </c>
      <c r="D121" s="9" t="n">
        <v>7803</v>
      </c>
      <c r="E121" s="9" t="n">
        <v>6960</v>
      </c>
      <c r="F121" s="9" t="n">
        <v>7924</v>
      </c>
      <c r="G121" s="9" t="n">
        <v>7769</v>
      </c>
      <c r="H121" s="9" t="n">
        <v>7081</v>
      </c>
      <c r="I121" s="9" t="n">
        <v>2539</v>
      </c>
      <c r="J121" s="9" t="n">
        <v>2692</v>
      </c>
      <c r="K121" s="9" t="n">
        <v>2988</v>
      </c>
      <c r="L121" s="9" t="n">
        <v>3497</v>
      </c>
      <c r="M121" s="9" t="n">
        <v>2724</v>
      </c>
      <c r="N121" s="10" t="n">
        <v>0.101962999576331</v>
      </c>
      <c r="O121" s="10" t="n">
        <v>-0.0679148311306902</v>
      </c>
      <c r="P121" s="10" t="n">
        <v>0.121120689655172</v>
      </c>
      <c r="Q121" s="10" t="n">
        <v>-0.121655729429581</v>
      </c>
      <c r="R121" s="10" t="n">
        <v>0.0199510876560689</v>
      </c>
      <c r="S121" s="10" t="n">
        <v>0.0971614178788307</v>
      </c>
      <c r="T121" s="11" t="s">
        <v>35</v>
      </c>
      <c r="U121" s="8" t="s">
        <v>404</v>
      </c>
      <c r="V121" s="8" t="s">
        <v>147</v>
      </c>
      <c r="W121" s="12" t="n">
        <v>113.67</v>
      </c>
      <c r="X121" s="12" t="n">
        <v>151.37</v>
      </c>
      <c r="Y121" s="10" t="n">
        <f aca="false">IF(AND(ISNUMBER(W121),ISNUMBER(X121)),X121/W121-1,"")</f>
        <v>0.331661828098883</v>
      </c>
      <c r="Z121" s="10" t="n">
        <v>0.364572007246128</v>
      </c>
      <c r="AA121" s="10" t="n">
        <v>0.0184066724187517</v>
      </c>
      <c r="AB121" s="8"/>
      <c r="AC121" s="10" t="n">
        <f aca="false">IF(AND(ISNUMBER(N121),ISNUMBER(AA121)),N121-AA121,"")</f>
        <v>0.0835563271575792</v>
      </c>
    </row>
    <row r="122" customFormat="false" ht="15" hidden="false" customHeight="false" outlineLevel="0" collapsed="false">
      <c r="A122" s="8" t="s">
        <v>405</v>
      </c>
      <c r="B122" s="8" t="s">
        <v>406</v>
      </c>
      <c r="C122" s="8" t="s">
        <v>31</v>
      </c>
      <c r="D122" s="9" t="n">
        <v>904.389</v>
      </c>
      <c r="E122" s="9" t="n">
        <v>807.345</v>
      </c>
      <c r="F122" s="9" t="n">
        <v>796.724</v>
      </c>
      <c r="G122" s="9" t="n">
        <v>710.641</v>
      </c>
      <c r="H122" s="9" t="n">
        <v>668.538</v>
      </c>
      <c r="I122" s="9" t="n">
        <v>46.778</v>
      </c>
      <c r="J122" s="9" t="n">
        <v>29.243</v>
      </c>
      <c r="K122" s="9" t="n">
        <v>-50.118</v>
      </c>
      <c r="L122" s="9" t="n">
        <v>-2.129</v>
      </c>
      <c r="M122" s="9" t="n">
        <v>-1.036</v>
      </c>
      <c r="N122" s="10" t="n">
        <v>0.352786229055043</v>
      </c>
      <c r="O122" s="13" t="s">
        <v>110</v>
      </c>
      <c r="P122" s="10" t="n">
        <v>0.120201400888096</v>
      </c>
      <c r="Q122" s="10" t="n">
        <v>0.0133308397889358</v>
      </c>
      <c r="R122" s="10" t="n">
        <v>0.12113429987856</v>
      </c>
      <c r="S122" s="10" t="n">
        <v>0.0629777215356495</v>
      </c>
      <c r="T122" s="11" t="s">
        <v>35</v>
      </c>
      <c r="U122" s="11" t="s">
        <v>407</v>
      </c>
      <c r="V122" s="8" t="s">
        <v>47</v>
      </c>
      <c r="W122" s="12" t="n">
        <v>698.02</v>
      </c>
      <c r="X122" s="12" t="n">
        <v>450.61</v>
      </c>
      <c r="Y122" s="10" t="n">
        <f aca="false">IF(AND(ISNUMBER(W122),ISNUMBER(X122)),X122/W122-1,"")</f>
        <v>-0.354445431362998</v>
      </c>
      <c r="Z122" s="10" t="n">
        <v>-0.354445470411914</v>
      </c>
      <c r="AA122" s="10" t="n">
        <v>0.328478089802796</v>
      </c>
      <c r="AB122" s="11" t="s">
        <v>35</v>
      </c>
      <c r="AC122" s="10" t="n">
        <f aca="false">IF(AND(ISNUMBER(N122),ISNUMBER(AA122)),N122-AA122,"")</f>
        <v>0.0243081392522461</v>
      </c>
    </row>
    <row r="123" customFormat="false" ht="15" hidden="false" customHeight="false" outlineLevel="0" collapsed="false">
      <c r="A123" s="8" t="s">
        <v>408</v>
      </c>
      <c r="B123" s="8" t="s">
        <v>409</v>
      </c>
      <c r="C123" s="8" t="s">
        <v>31</v>
      </c>
      <c r="D123" s="9" t="n">
        <v>24708</v>
      </c>
      <c r="E123" s="9" t="n">
        <v>22076</v>
      </c>
      <c r="F123" s="9" t="n">
        <v>24238</v>
      </c>
      <c r="G123" s="9" t="n">
        <v>22478</v>
      </c>
      <c r="H123" s="9" t="n">
        <v>21581</v>
      </c>
      <c r="I123" s="9" t="n">
        <v>2811</v>
      </c>
      <c r="J123" s="9" t="n">
        <v>2555</v>
      </c>
      <c r="K123" s="9" t="n">
        <v>2596</v>
      </c>
      <c r="L123" s="9" t="n">
        <v>2523</v>
      </c>
      <c r="M123" s="9" t="n">
        <v>2146</v>
      </c>
      <c r="N123" s="10" t="n">
        <v>0.144895973309856</v>
      </c>
      <c r="O123" s="10" t="n">
        <v>0.309878844361603</v>
      </c>
      <c r="P123" s="10" t="n">
        <v>0.11922449719152</v>
      </c>
      <c r="Q123" s="10" t="n">
        <v>-0.0891987787771268</v>
      </c>
      <c r="R123" s="10" t="n">
        <v>0.0782987810303408</v>
      </c>
      <c r="S123" s="10" t="n">
        <v>0.0415643390018998</v>
      </c>
      <c r="T123" s="11" t="s">
        <v>35</v>
      </c>
      <c r="U123" s="11" t="s">
        <v>410</v>
      </c>
      <c r="V123" s="8" t="s">
        <v>47</v>
      </c>
      <c r="W123" s="12" t="n">
        <v>161.38</v>
      </c>
      <c r="X123" s="12" t="n">
        <v>192.19</v>
      </c>
      <c r="Y123" s="10" t="n">
        <f aca="false">IF(AND(ISNUMBER(W123),ISNUMBER(X123)),X123/W123-1,"")</f>
        <v>0.190915850786962</v>
      </c>
      <c r="Z123" s="10" t="n">
        <v>0.20859241674555</v>
      </c>
      <c r="AA123" s="10" t="n">
        <v>0.0943157040718017</v>
      </c>
      <c r="AB123" s="8"/>
      <c r="AC123" s="10" t="n">
        <f aca="false">IF(AND(ISNUMBER(N123),ISNUMBER(AA123)),N123-AA123,"")</f>
        <v>0.0505802692380541</v>
      </c>
    </row>
    <row r="124" customFormat="false" ht="15" hidden="false" customHeight="false" outlineLevel="0" collapsed="false">
      <c r="A124" s="8" t="s">
        <v>411</v>
      </c>
      <c r="B124" s="8" t="s">
        <v>412</v>
      </c>
      <c r="C124" s="8" t="s">
        <v>31</v>
      </c>
      <c r="D124" s="9" t="n">
        <v>2222</v>
      </c>
      <c r="E124" s="9" t="n">
        <v>1986</v>
      </c>
      <c r="F124" s="9" t="n">
        <v>1872</v>
      </c>
      <c r="G124" s="9" t="n">
        <v>1659</v>
      </c>
      <c r="H124" s="9" t="n">
        <v>1890</v>
      </c>
      <c r="I124" s="9" t="n">
        <v>1103</v>
      </c>
      <c r="J124" s="9" t="n">
        <v>687</v>
      </c>
      <c r="K124" s="9" t="n">
        <v>681</v>
      </c>
      <c r="L124" s="9" t="n">
        <v>574</v>
      </c>
      <c r="M124" s="9" t="n">
        <v>645</v>
      </c>
      <c r="N124" s="10" t="n">
        <v>0.175661375661376</v>
      </c>
      <c r="O124" s="10" t="n">
        <v>0.710077519379845</v>
      </c>
      <c r="P124" s="10" t="n">
        <v>0.118831822759315</v>
      </c>
      <c r="Q124" s="10" t="n">
        <v>0.0608974358974359</v>
      </c>
      <c r="R124" s="10" t="n">
        <v>0.128390596745027</v>
      </c>
      <c r="S124" s="10" t="n">
        <v>-0.122222222222222</v>
      </c>
      <c r="T124" s="11" t="s">
        <v>35</v>
      </c>
      <c r="U124" s="11" t="s">
        <v>413</v>
      </c>
      <c r="V124" s="8" t="s">
        <v>104</v>
      </c>
      <c r="W124" s="12" t="n">
        <v>91.65</v>
      </c>
      <c r="X124" s="12" t="n">
        <v>120.64</v>
      </c>
      <c r="Y124" s="10" t="n">
        <f aca="false">IF(AND(ISNUMBER(W124),ISNUMBER(X124)),X124/W124-1,"")</f>
        <v>0.316312056737589</v>
      </c>
      <c r="Z124" s="10" t="n">
        <v>0.343554098982452</v>
      </c>
      <c r="AA124" s="10" t="n">
        <v>0.202290076335878</v>
      </c>
      <c r="AB124" s="11" t="s">
        <v>35</v>
      </c>
      <c r="AC124" s="10" t="n">
        <f aca="false">IF(AND(ISNUMBER(N124),ISNUMBER(AA124)),N124-AA124,"")</f>
        <v>-0.0266287006745023</v>
      </c>
    </row>
    <row r="125" customFormat="false" ht="15" hidden="false" customHeight="false" outlineLevel="0" collapsed="false">
      <c r="A125" s="8" t="s">
        <v>414</v>
      </c>
      <c r="B125" s="8" t="s">
        <v>415</v>
      </c>
      <c r="C125" s="8" t="s">
        <v>31</v>
      </c>
      <c r="D125" s="9" t="n">
        <v>3320.791</v>
      </c>
      <c r="E125" s="9" t="n">
        <v>2969.682</v>
      </c>
      <c r="F125" s="9" t="n">
        <v>1932.807</v>
      </c>
      <c r="G125" s="9" t="n">
        <v>2007.637</v>
      </c>
      <c r="H125" s="9" t="n">
        <v>1969.287</v>
      </c>
      <c r="I125" s="9" t="n">
        <v>337.121</v>
      </c>
      <c r="J125" s="9" t="n">
        <v>-15.646</v>
      </c>
      <c r="K125" s="9" t="n">
        <v>234.701</v>
      </c>
      <c r="L125" s="9" t="n">
        <v>434.123</v>
      </c>
      <c r="M125" s="9" t="n">
        <v>426.259</v>
      </c>
      <c r="N125" s="10" t="n">
        <v>0.686291028174156</v>
      </c>
      <c r="O125" s="10" t="n">
        <v>-0.20911699225119</v>
      </c>
      <c r="P125" s="10" t="n">
        <v>0.118231177614304</v>
      </c>
      <c r="Q125" s="10" t="n">
        <v>0.536460701973865</v>
      </c>
      <c r="R125" s="10" t="n">
        <v>-0.0372726742932114</v>
      </c>
      <c r="S125" s="10" t="n">
        <v>0.0194740532994937</v>
      </c>
      <c r="T125" s="11" t="s">
        <v>35</v>
      </c>
      <c r="U125" s="11" t="s">
        <v>416</v>
      </c>
      <c r="V125" s="8" t="s">
        <v>51</v>
      </c>
      <c r="W125" s="12" t="n">
        <v>87.11</v>
      </c>
      <c r="X125" s="12" t="n">
        <v>84</v>
      </c>
      <c r="Y125" s="10" t="n">
        <f aca="false">IF(AND(ISNUMBER(W125),ISNUMBER(X125)),X125/W125-1,"")</f>
        <v>-0.0357019859947193</v>
      </c>
      <c r="Z125" s="10" t="n">
        <v>-0.0230950503077237</v>
      </c>
      <c r="AA125" s="10" t="n">
        <v>-0.00724394667749018</v>
      </c>
      <c r="AB125" s="8"/>
      <c r="AC125" s="10" t="n">
        <f aca="false">IF(AND(ISNUMBER(N125),ISNUMBER(AA125)),N125-AA125,"")</f>
        <v>0.693534974851647</v>
      </c>
    </row>
    <row r="126" customFormat="false" ht="15" hidden="false" customHeight="false" outlineLevel="0" collapsed="false">
      <c r="A126" s="8" t="s">
        <v>417</v>
      </c>
      <c r="B126" s="8" t="s">
        <v>418</v>
      </c>
      <c r="C126" s="8" t="s">
        <v>31</v>
      </c>
      <c r="D126" s="9" t="n">
        <v>48296</v>
      </c>
      <c r="E126" s="9" t="n">
        <v>43253</v>
      </c>
      <c r="F126" s="9" t="n">
        <v>45890</v>
      </c>
      <c r="G126" s="9" t="n">
        <v>50534</v>
      </c>
      <c r="H126" s="9" t="n">
        <v>50184</v>
      </c>
      <c r="I126" s="9" t="n">
        <v>638</v>
      </c>
      <c r="J126" s="9" t="n">
        <v>2329</v>
      </c>
      <c r="K126" s="9" t="n">
        <v>-11557</v>
      </c>
      <c r="L126" s="9" t="n">
        <v>1558</v>
      </c>
      <c r="M126" s="9" t="n">
        <v>511</v>
      </c>
      <c r="N126" s="10" t="n">
        <v>-0.0376215526861151</v>
      </c>
      <c r="O126" s="10" t="n">
        <v>0.24853228962818</v>
      </c>
      <c r="P126" s="10" t="n">
        <v>0.116593068688877</v>
      </c>
      <c r="Q126" s="10" t="n">
        <v>-0.0574634996731314</v>
      </c>
      <c r="R126" s="10" t="n">
        <v>-0.0918985237661772</v>
      </c>
      <c r="S126" s="10" t="n">
        <v>0.00697433444922679</v>
      </c>
      <c r="T126" s="11" t="s">
        <v>35</v>
      </c>
      <c r="U126" s="11" t="s">
        <v>419</v>
      </c>
      <c r="V126" s="8" t="s">
        <v>43</v>
      </c>
      <c r="W126" s="12" t="n">
        <v>11.63</v>
      </c>
      <c r="X126" s="12" t="n">
        <v>12.94</v>
      </c>
      <c r="Y126" s="10" t="n">
        <f aca="false">IF(AND(ISNUMBER(W126),ISNUMBER(X126)),X126/W126-1,"")</f>
        <v>0.112639724849527</v>
      </c>
      <c r="Z126" s="10" t="n">
        <v>0.164514848310495</v>
      </c>
      <c r="AA126" s="10" t="n">
        <v>0.0496987951807228</v>
      </c>
      <c r="AB126" s="11" t="s">
        <v>35</v>
      </c>
      <c r="AC126" s="10" t="n">
        <f aca="false">IF(AND(ISNUMBER(N126),ISNUMBER(AA126)),N126-AA126,"")</f>
        <v>-0.087320347866838</v>
      </c>
    </row>
    <row r="127" customFormat="false" ht="15" hidden="false" customHeight="false" outlineLevel="0" collapsed="false">
      <c r="A127" s="8" t="s">
        <v>420</v>
      </c>
      <c r="B127" s="8" t="s">
        <v>421</v>
      </c>
      <c r="C127" s="8" t="s">
        <v>31</v>
      </c>
      <c r="D127" s="9" t="n">
        <v>3333.9</v>
      </c>
      <c r="E127" s="9" t="n">
        <v>2986.9</v>
      </c>
      <c r="F127" s="9" t="n">
        <v>3190</v>
      </c>
      <c r="G127" s="9" t="n">
        <v>3076.4</v>
      </c>
      <c r="H127" s="9" t="n">
        <v>2964.7</v>
      </c>
      <c r="I127" s="9" t="n">
        <v>1268.7</v>
      </c>
      <c r="J127" s="9" t="n">
        <v>1138.8</v>
      </c>
      <c r="K127" s="9" t="n">
        <v>1130.3</v>
      </c>
      <c r="L127" s="9" t="n">
        <v>1238.8</v>
      </c>
      <c r="M127" s="9" t="n">
        <v>1154.2</v>
      </c>
      <c r="N127" s="10" t="n">
        <v>0.124531993119034</v>
      </c>
      <c r="O127" s="10" t="n">
        <v>0.0992029111072605</v>
      </c>
      <c r="P127" s="10" t="n">
        <v>0.11617395962369</v>
      </c>
      <c r="Q127" s="10" t="n">
        <v>-0.0636677115987461</v>
      </c>
      <c r="R127" s="10" t="n">
        <v>0.0369262774671695</v>
      </c>
      <c r="S127" s="10" t="n">
        <v>0.0376766620568692</v>
      </c>
      <c r="T127" s="11" t="s">
        <v>35</v>
      </c>
      <c r="U127" s="11" t="s">
        <v>422</v>
      </c>
      <c r="V127" s="8" t="s">
        <v>147</v>
      </c>
      <c r="W127" s="12" t="n">
        <v>376.62</v>
      </c>
      <c r="X127" s="12" t="n">
        <v>516.34</v>
      </c>
      <c r="Y127" s="10" t="n">
        <f aca="false">IF(AND(ISNUMBER(W127),ISNUMBER(X127)),X127/W127-1,"")</f>
        <v>0.370984015718762</v>
      </c>
      <c r="Z127" s="10" t="n">
        <v>0.37098410479987</v>
      </c>
      <c r="AA127" s="10" t="n">
        <v>0.120615361354702</v>
      </c>
      <c r="AB127" s="8"/>
      <c r="AC127" s="10" t="n">
        <f aca="false">IF(AND(ISNUMBER(N127),ISNUMBER(AA127)),N127-AA127,"")</f>
        <v>0.00391663176433199</v>
      </c>
    </row>
    <row r="128" customFormat="false" ht="15" hidden="false" customHeight="false" outlineLevel="0" collapsed="false">
      <c r="A128" s="8" t="s">
        <v>423</v>
      </c>
      <c r="B128" s="8" t="s">
        <v>424</v>
      </c>
      <c r="C128" s="8" t="s">
        <v>31</v>
      </c>
      <c r="D128" s="9" t="n">
        <v>1121.454</v>
      </c>
      <c r="E128" s="9" t="n">
        <v>1006.426</v>
      </c>
      <c r="F128" s="9" t="n">
        <v>953.194</v>
      </c>
      <c r="G128" s="9" t="n">
        <v>885.651</v>
      </c>
      <c r="H128" s="9" t="n">
        <v>826.76</v>
      </c>
      <c r="I128" s="9" t="n">
        <v>7.465</v>
      </c>
      <c r="J128" s="9" t="n">
        <v>7.327</v>
      </c>
      <c r="K128" s="9" t="n">
        <v>7.983</v>
      </c>
      <c r="L128" s="9" t="n">
        <v>-5.809</v>
      </c>
      <c r="M128" s="9" t="n">
        <v>-34.127</v>
      </c>
      <c r="N128" s="10" t="n">
        <v>0.35644443369297</v>
      </c>
      <c r="O128" s="13" t="s">
        <v>110</v>
      </c>
      <c r="P128" s="10" t="n">
        <v>0.11429354964995</v>
      </c>
      <c r="Q128" s="10" t="n">
        <v>0.0558459243343958</v>
      </c>
      <c r="R128" s="10" t="n">
        <v>0.076263674969034</v>
      </c>
      <c r="S128" s="10" t="n">
        <v>0.0712310706855677</v>
      </c>
      <c r="T128" s="11" t="s">
        <v>35</v>
      </c>
      <c r="U128" s="11" t="s">
        <v>425</v>
      </c>
      <c r="V128" s="8" t="s">
        <v>34</v>
      </c>
      <c r="W128" s="12" t="n">
        <v>136.57</v>
      </c>
      <c r="X128" s="12" t="n">
        <v>251.49</v>
      </c>
      <c r="Y128" s="10" t="n">
        <f aca="false">IF(AND(ISNUMBER(W128),ISNUMBER(X128)),X128/W128-1,"")</f>
        <v>0.841473237167753</v>
      </c>
      <c r="Z128" s="10" t="n">
        <v>0.841473178632289</v>
      </c>
      <c r="AA128" s="10" t="n">
        <v>0.281244236988961</v>
      </c>
      <c r="AB128" s="8"/>
      <c r="AC128" s="10" t="n">
        <f aca="false">IF(AND(ISNUMBER(N128),ISNUMBER(AA128)),N128-AA128,"")</f>
        <v>0.0752001967040088</v>
      </c>
    </row>
    <row r="129" customFormat="false" ht="15" hidden="false" customHeight="false" outlineLevel="0" collapsed="false">
      <c r="A129" s="8" t="s">
        <v>426</v>
      </c>
      <c r="B129" s="8" t="s">
        <v>427</v>
      </c>
      <c r="C129" s="8" t="s">
        <v>31</v>
      </c>
      <c r="D129" s="9" t="n">
        <v>1151.5</v>
      </c>
      <c r="E129" s="9" t="n">
        <v>1033.6</v>
      </c>
      <c r="F129" s="9" t="n">
        <v>1033.2</v>
      </c>
      <c r="G129" s="9" t="n">
        <v>1070.2</v>
      </c>
      <c r="H129" s="9" t="n">
        <v>1022</v>
      </c>
      <c r="I129" s="9" t="n">
        <v>254.7</v>
      </c>
      <c r="J129" s="9" t="n">
        <v>195.3</v>
      </c>
      <c r="K129" s="9" t="n">
        <v>209.6</v>
      </c>
      <c r="L129" s="9" t="n">
        <v>233.8</v>
      </c>
      <c r="M129" s="9" t="n">
        <v>219.7</v>
      </c>
      <c r="N129" s="10" t="n">
        <v>0.126712328767123</v>
      </c>
      <c r="O129" s="10" t="n">
        <v>0.159308147473828</v>
      </c>
      <c r="P129" s="10" t="n">
        <v>0.1140673374613</v>
      </c>
      <c r="Q129" s="10" t="n">
        <v>0.000387146728610066</v>
      </c>
      <c r="R129" s="10" t="n">
        <v>-0.0345729770136423</v>
      </c>
      <c r="S129" s="10" t="n">
        <v>0.0471624266144815</v>
      </c>
      <c r="T129" s="11" t="s">
        <v>35</v>
      </c>
      <c r="U129" s="11" t="s">
        <v>428</v>
      </c>
      <c r="V129" s="8" t="s">
        <v>47</v>
      </c>
      <c r="W129" s="12" t="n">
        <v>175.34</v>
      </c>
      <c r="X129" s="12" t="n">
        <v>154.09</v>
      </c>
      <c r="Y129" s="10" t="n">
        <f aca="false">IF(AND(ISNUMBER(W129),ISNUMBER(X129)),X129/W129-1,"")</f>
        <v>-0.121193110528117</v>
      </c>
      <c r="Z129" s="10" t="n">
        <v>-0.111083862459408</v>
      </c>
      <c r="AA129" s="10" t="n">
        <v>0.0584092792046396</v>
      </c>
      <c r="AB129" s="8"/>
      <c r="AC129" s="10" t="n">
        <f aca="false">IF(AND(ISNUMBER(N129),ISNUMBER(AA129)),N129-AA129,"")</f>
        <v>0.0683030495624837</v>
      </c>
    </row>
    <row r="130" customFormat="false" ht="15" hidden="false" customHeight="false" outlineLevel="0" collapsed="false">
      <c r="A130" s="8" t="s">
        <v>429</v>
      </c>
      <c r="B130" s="8" t="s">
        <v>430</v>
      </c>
      <c r="C130" s="8" t="s">
        <v>31</v>
      </c>
      <c r="D130" s="9" t="n">
        <v>5154.892</v>
      </c>
      <c r="E130" s="9" t="n">
        <v>4628.233</v>
      </c>
      <c r="F130" s="9" t="n">
        <v>4513.121</v>
      </c>
      <c r="G130" s="9" t="n">
        <v>4301.529</v>
      </c>
      <c r="H130" s="9" t="n">
        <v>4304.4</v>
      </c>
      <c r="I130" s="9" t="n">
        <v>547.34</v>
      </c>
      <c r="J130" s="9" t="n">
        <v>403.845</v>
      </c>
      <c r="K130" s="9" t="n">
        <v>428.878</v>
      </c>
      <c r="L130" s="9" t="n">
        <v>405.696</v>
      </c>
      <c r="M130" s="9" t="n">
        <v>415.212</v>
      </c>
      <c r="N130" s="10" t="n">
        <v>0.197586655515287</v>
      </c>
      <c r="O130" s="10" t="n">
        <v>0.318218163251544</v>
      </c>
      <c r="P130" s="10" t="n">
        <v>0.113792672062967</v>
      </c>
      <c r="Q130" s="10" t="n">
        <v>0.0255060743995119</v>
      </c>
      <c r="R130" s="10" t="n">
        <v>0.0491899508291123</v>
      </c>
      <c r="S130" s="10" t="n">
        <v>-0.000666991915249549</v>
      </c>
      <c r="T130" s="11" t="s">
        <v>35</v>
      </c>
      <c r="U130" s="11" t="s">
        <v>431</v>
      </c>
      <c r="V130" s="8" t="s">
        <v>47</v>
      </c>
      <c r="W130" s="12" t="n">
        <v>626.57</v>
      </c>
      <c r="X130" s="12" t="n">
        <v>751.8</v>
      </c>
      <c r="Y130" s="10" t="n">
        <f aca="false">IF(AND(ISNUMBER(W130),ISNUMBER(X130)),X130/W130-1,"")</f>
        <v>0.199865936766842</v>
      </c>
      <c r="Z130" s="10" t="n">
        <v>0.202246335598318</v>
      </c>
      <c r="AA130" s="10" t="n">
        <v>0.173853533382585</v>
      </c>
      <c r="AB130" s="8" t="s">
        <v>32</v>
      </c>
      <c r="AC130" s="10" t="n">
        <f aca="false">IF(AND(ISNUMBER(N130),ISNUMBER(AA130)),N130-AA130,"")</f>
        <v>0.023733122132702</v>
      </c>
    </row>
    <row r="131" customFormat="false" ht="15" hidden="false" customHeight="false" outlineLevel="0" collapsed="false">
      <c r="A131" s="8" t="s">
        <v>432</v>
      </c>
      <c r="B131" s="8" t="s">
        <v>433</v>
      </c>
      <c r="C131" s="8" t="s">
        <v>31</v>
      </c>
      <c r="D131" s="9" t="n">
        <v>7546.7</v>
      </c>
      <c r="E131" s="9" t="n">
        <v>6776.5</v>
      </c>
      <c r="F131" s="9" t="n">
        <v>6820.8</v>
      </c>
      <c r="G131" s="9" t="n">
        <v>6671.8</v>
      </c>
      <c r="H131" s="9" t="n">
        <v>7510.5</v>
      </c>
      <c r="I131" s="9" t="n">
        <v>879.2</v>
      </c>
      <c r="J131" s="9" t="n">
        <v>674.6</v>
      </c>
      <c r="K131" s="9" t="n">
        <v>602.1</v>
      </c>
      <c r="L131" s="9" t="n">
        <v>636</v>
      </c>
      <c r="M131" s="9" t="n">
        <v>838.5</v>
      </c>
      <c r="N131" s="10" t="n">
        <v>0.00481991878037413</v>
      </c>
      <c r="O131" s="10" t="n">
        <v>0.0485390578413834</v>
      </c>
      <c r="P131" s="10" t="n">
        <v>0.113657492806021</v>
      </c>
      <c r="Q131" s="10" t="n">
        <v>-0.00649483931503636</v>
      </c>
      <c r="R131" s="10" t="n">
        <v>0.0223328037411192</v>
      </c>
      <c r="S131" s="10" t="n">
        <v>-0.111670328207177</v>
      </c>
      <c r="T131" s="11" t="s">
        <v>35</v>
      </c>
      <c r="U131" s="11" t="s">
        <v>434</v>
      </c>
      <c r="V131" s="8" t="s">
        <v>47</v>
      </c>
      <c r="W131" s="12" t="n">
        <v>96.89</v>
      </c>
      <c r="X131" s="12" t="n">
        <v>112.09</v>
      </c>
      <c r="Y131" s="10" t="n">
        <f aca="false">IF(AND(ISNUMBER(W131),ISNUMBER(X131)),X131/W131-1,"")</f>
        <v>0.1568789348746</v>
      </c>
      <c r="Z131" s="10" t="n">
        <v>0.185399374553061</v>
      </c>
      <c r="AA131" s="10" t="n">
        <v>-0.143819609899568</v>
      </c>
      <c r="AB131" s="8"/>
      <c r="AC131" s="10" t="n">
        <f aca="false">IF(AND(ISNUMBER(N131),ISNUMBER(AA131)),N131-AA131,"")</f>
        <v>0.148639528679942</v>
      </c>
    </row>
    <row r="132" customFormat="false" ht="15" hidden="false" customHeight="false" outlineLevel="0" collapsed="false">
      <c r="A132" s="8" t="s">
        <v>435</v>
      </c>
      <c r="B132" s="8" t="s">
        <v>436</v>
      </c>
      <c r="C132" s="8" t="s">
        <v>31</v>
      </c>
      <c r="D132" s="9" t="n">
        <v>20063</v>
      </c>
      <c r="E132" s="9" t="n">
        <v>18021</v>
      </c>
      <c r="F132" s="9" t="n">
        <v>20321</v>
      </c>
      <c r="G132" s="9" t="n">
        <v>18609</v>
      </c>
      <c r="H132" s="9" t="n">
        <v>18155</v>
      </c>
      <c r="I132" s="9" t="n">
        <v>2479</v>
      </c>
      <c r="J132" s="9" t="n">
        <v>2063</v>
      </c>
      <c r="K132" s="9" t="n">
        <v>2331</v>
      </c>
      <c r="L132" s="9" t="n">
        <v>2280</v>
      </c>
      <c r="M132" s="9" t="n">
        <v>748</v>
      </c>
      <c r="N132" s="10" t="n">
        <v>0.105095015147342</v>
      </c>
      <c r="O132" s="10" t="n">
        <v>2.31417112299465</v>
      </c>
      <c r="P132" s="10" t="n">
        <v>0.113312246823151</v>
      </c>
      <c r="Q132" s="10" t="n">
        <v>-0.113183406328429</v>
      </c>
      <c r="R132" s="10" t="n">
        <v>0.0919984953517115</v>
      </c>
      <c r="S132" s="10" t="n">
        <v>0.0250068851556045</v>
      </c>
      <c r="T132" s="11" t="s">
        <v>35</v>
      </c>
      <c r="U132" s="11" t="s">
        <v>437</v>
      </c>
      <c r="V132" s="8" t="s">
        <v>47</v>
      </c>
      <c r="W132" s="12" t="n">
        <v>486.25</v>
      </c>
      <c r="X132" s="12" t="n">
        <v>524.68</v>
      </c>
      <c r="Y132" s="10" t="n">
        <f aca="false">IF(AND(ISNUMBER(W132),ISNUMBER(X132)),X132/W132-1,"")</f>
        <v>0.0790334190231361</v>
      </c>
      <c r="Z132" s="10" t="n">
        <v>0.106915040909796</v>
      </c>
      <c r="AA132" s="10" t="n">
        <v>0.00182099106058931</v>
      </c>
      <c r="AB132" s="8"/>
      <c r="AC132" s="10" t="n">
        <f aca="false">IF(AND(ISNUMBER(N132),ISNUMBER(AA132)),N132-AA132,"")</f>
        <v>0.103274024086753</v>
      </c>
    </row>
    <row r="133" customFormat="false" ht="15" hidden="false" customHeight="false" outlineLevel="0" collapsed="false">
      <c r="A133" s="8" t="s">
        <v>438</v>
      </c>
      <c r="B133" s="8" t="s">
        <v>439</v>
      </c>
      <c r="C133" s="8" t="s">
        <v>132</v>
      </c>
      <c r="D133" s="9" t="n">
        <v>1184</v>
      </c>
      <c r="E133" s="9" t="n">
        <v>1064</v>
      </c>
      <c r="F133" s="9" t="n">
        <v>1210</v>
      </c>
      <c r="G133" s="9" t="n">
        <v>961</v>
      </c>
      <c r="H133" s="9" t="n">
        <v>1128</v>
      </c>
      <c r="I133" s="9" t="n">
        <v>249</v>
      </c>
      <c r="J133" s="9" t="n">
        <v>197</v>
      </c>
      <c r="K133" s="9" t="n">
        <v>349</v>
      </c>
      <c r="L133" s="9" t="n">
        <v>223</v>
      </c>
      <c r="M133" s="9" t="n">
        <v>257</v>
      </c>
      <c r="N133" s="10" t="n">
        <v>0.049645390070922</v>
      </c>
      <c r="O133" s="10" t="n">
        <v>-0.0311284046692607</v>
      </c>
      <c r="P133" s="10" t="n">
        <v>0.112781954887218</v>
      </c>
      <c r="Q133" s="10" t="n">
        <v>-0.120661157024793</v>
      </c>
      <c r="R133" s="10" t="n">
        <v>0.259105098855359</v>
      </c>
      <c r="S133" s="10" t="n">
        <v>-0.148049645390071</v>
      </c>
      <c r="T133" s="11" t="s">
        <v>35</v>
      </c>
      <c r="U133" s="11" t="s">
        <v>440</v>
      </c>
      <c r="V133" s="8" t="s">
        <v>134</v>
      </c>
      <c r="W133" s="12" t="n">
        <v>65.47</v>
      </c>
      <c r="X133" s="12" t="n">
        <v>63.69</v>
      </c>
      <c r="Y133" s="10" t="n">
        <f aca="false">IF(AND(ISNUMBER(W133),ISNUMBER(X133)),X133/W133-1,"")</f>
        <v>-0.0271880250496411</v>
      </c>
      <c r="Z133" s="10" t="n">
        <v>0.00306405246035579</v>
      </c>
      <c r="AA133" s="10" t="n">
        <v>0.0749440715883669</v>
      </c>
      <c r="AB133" s="8"/>
      <c r="AC133" s="10" t="n">
        <f aca="false">IF(AND(ISNUMBER(N133),ISNUMBER(AA133)),N133-AA133,"")</f>
        <v>-0.025298681517445</v>
      </c>
    </row>
    <row r="134" customFormat="false" ht="15" hidden="false" customHeight="false" outlineLevel="0" collapsed="false">
      <c r="A134" s="8" t="s">
        <v>441</v>
      </c>
      <c r="B134" s="8" t="s">
        <v>442</v>
      </c>
      <c r="C134" s="8" t="s">
        <v>38</v>
      </c>
      <c r="D134" s="9" t="n">
        <v>4021.899</v>
      </c>
      <c r="E134" s="9" t="n">
        <v>3623.465</v>
      </c>
      <c r="F134" s="9" t="n">
        <v>3160.263</v>
      </c>
      <c r="G134" s="9" t="n">
        <v>3076.117</v>
      </c>
      <c r="H134" s="9" t="n">
        <v>2880.348</v>
      </c>
      <c r="I134" s="9" t="n">
        <v>1588.753</v>
      </c>
      <c r="J134" s="9" t="n">
        <v>1379.68</v>
      </c>
      <c r="K134" s="9" t="n">
        <v>1045.008</v>
      </c>
      <c r="L134" s="9" t="n">
        <v>945.211</v>
      </c>
      <c r="M134" s="9" t="n">
        <v>822.376</v>
      </c>
      <c r="N134" s="10" t="n">
        <v>0.39632398585171</v>
      </c>
      <c r="O134" s="10" t="n">
        <v>0.931905843555746</v>
      </c>
      <c r="P134" s="10" t="n">
        <v>0.10995938970019</v>
      </c>
      <c r="Q134" s="10" t="n">
        <v>0.146570712627399</v>
      </c>
      <c r="R134" s="10" t="n">
        <v>0.0273546162255858</v>
      </c>
      <c r="S134" s="10" t="n">
        <v>0.0679671345268003</v>
      </c>
      <c r="T134" s="11" t="s">
        <v>35</v>
      </c>
      <c r="U134" s="11" t="s">
        <v>443</v>
      </c>
      <c r="V134" s="8" t="s">
        <v>34</v>
      </c>
      <c r="W134" s="12" t="n">
        <v>248.61</v>
      </c>
      <c r="X134" s="12" t="n">
        <v>385.23</v>
      </c>
      <c r="Y134" s="10" t="n">
        <f aca="false">IF(AND(ISNUMBER(W134),ISNUMBER(X134)),X134/W134-1,"")</f>
        <v>0.549535416918064</v>
      </c>
      <c r="Z134" s="10" t="n">
        <v>0.56891537771644</v>
      </c>
      <c r="AA134" s="10" t="n">
        <v>0.245712649678295</v>
      </c>
      <c r="AB134" s="8"/>
      <c r="AC134" s="10" t="n">
        <f aca="false">IF(AND(ISNUMBER(N134),ISNUMBER(AA134)),N134-AA134,"")</f>
        <v>0.150611336173415</v>
      </c>
    </row>
    <row r="135" customFormat="false" ht="15" hidden="false" customHeight="false" outlineLevel="0" collapsed="false">
      <c r="A135" s="8" t="s">
        <v>444</v>
      </c>
      <c r="B135" s="8" t="s">
        <v>445</v>
      </c>
      <c r="C135" s="8" t="s">
        <v>31</v>
      </c>
      <c r="D135" s="9" t="n">
        <v>3997</v>
      </c>
      <c r="E135" s="9" t="n">
        <v>3603</v>
      </c>
      <c r="F135" s="9" t="n">
        <v>3347</v>
      </c>
      <c r="G135" s="9" t="n">
        <v>3379</v>
      </c>
      <c r="H135" s="9" t="n">
        <v>3338</v>
      </c>
      <c r="I135" s="9" t="n">
        <v>369</v>
      </c>
      <c r="J135" s="9" t="n">
        <v>337</v>
      </c>
      <c r="K135" s="9" t="n">
        <v>339</v>
      </c>
      <c r="L135" s="9" t="n">
        <v>390</v>
      </c>
      <c r="M135" s="9" t="n">
        <v>356</v>
      </c>
      <c r="N135" s="10" t="n">
        <v>0.19742360695027</v>
      </c>
      <c r="O135" s="10" t="n">
        <v>0.0365168539325842</v>
      </c>
      <c r="P135" s="10" t="n">
        <v>0.109353316680544</v>
      </c>
      <c r="Q135" s="10" t="n">
        <v>0.0764864057364805</v>
      </c>
      <c r="R135" s="10" t="n">
        <v>-0.00947025747262509</v>
      </c>
      <c r="S135" s="10" t="n">
        <v>0.0122828040742959</v>
      </c>
      <c r="T135" s="11" t="s">
        <v>35</v>
      </c>
      <c r="U135" s="11" t="s">
        <v>446</v>
      </c>
      <c r="V135" s="8" t="s">
        <v>104</v>
      </c>
      <c r="W135" s="12" t="n">
        <v>48.72</v>
      </c>
      <c r="X135" s="12" t="n">
        <v>58.82</v>
      </c>
      <c r="Y135" s="10" t="n">
        <f aca="false">IF(AND(ISNUMBER(W135),ISNUMBER(X135)),X135/W135-1,"")</f>
        <v>0.207307060755337</v>
      </c>
      <c r="Z135" s="10" t="n">
        <v>0.224176422672571</v>
      </c>
      <c r="AA135" s="10" t="n">
        <v>0.128083812098682</v>
      </c>
      <c r="AB135" s="8"/>
      <c r="AC135" s="10" t="n">
        <f aca="false">IF(AND(ISNUMBER(N135),ISNUMBER(AA135)),N135-AA135,"")</f>
        <v>0.0693397948515877</v>
      </c>
    </row>
    <row r="136" customFormat="false" ht="15" hidden="false" customHeight="false" outlineLevel="0" collapsed="false">
      <c r="A136" s="8" t="s">
        <v>447</v>
      </c>
      <c r="B136" s="8" t="s">
        <v>448</v>
      </c>
      <c r="C136" s="8" t="s">
        <v>31</v>
      </c>
      <c r="D136" s="9" t="n">
        <v>2048.8</v>
      </c>
      <c r="E136" s="9" t="n">
        <v>1847.2</v>
      </c>
      <c r="F136" s="9" t="n">
        <v>2091.2</v>
      </c>
      <c r="G136" s="9" t="n">
        <v>1955</v>
      </c>
      <c r="H136" s="9" t="n">
        <v>1887.9</v>
      </c>
      <c r="I136" s="9" t="n">
        <v>358.5</v>
      </c>
      <c r="J136" s="9" t="n">
        <v>314.2</v>
      </c>
      <c r="K136" s="9" t="n">
        <v>423.9</v>
      </c>
      <c r="L136" s="9" t="n">
        <v>398.5</v>
      </c>
      <c r="M136" s="9" t="n">
        <v>363.2</v>
      </c>
      <c r="N136" s="10" t="n">
        <v>0.0852269717675724</v>
      </c>
      <c r="O136" s="10" t="n">
        <v>-0.0129405286343612</v>
      </c>
      <c r="P136" s="10" t="n">
        <v>0.109138155045474</v>
      </c>
      <c r="Q136" s="10" t="n">
        <v>-0.116679418515685</v>
      </c>
      <c r="R136" s="10" t="n">
        <v>0.0696675191815857</v>
      </c>
      <c r="S136" s="10" t="n">
        <v>0.0355421367657185</v>
      </c>
      <c r="T136" s="11" t="s">
        <v>35</v>
      </c>
      <c r="U136" s="11" t="s">
        <v>449</v>
      </c>
      <c r="V136" s="8" t="s">
        <v>47</v>
      </c>
      <c r="W136" s="12" t="n">
        <v>80.91</v>
      </c>
      <c r="X136" s="12" t="n">
        <v>76.22</v>
      </c>
      <c r="Y136" s="10" t="n">
        <f aca="false">IF(AND(ISNUMBER(W136),ISNUMBER(X136)),X136/W136-1,"")</f>
        <v>-0.0579656408354962</v>
      </c>
      <c r="Z136" s="10" t="n">
        <v>-0.0570306158278053</v>
      </c>
      <c r="AA136" s="10" t="n">
        <v>0.04575416828228</v>
      </c>
      <c r="AB136" s="8"/>
      <c r="AC136" s="10" t="n">
        <f aca="false">IF(AND(ISNUMBER(N136),ISNUMBER(AA136)),N136-AA136,"")</f>
        <v>0.0394728034852925</v>
      </c>
    </row>
    <row r="137" customFormat="false" ht="15" hidden="false" customHeight="false" outlineLevel="0" collapsed="false">
      <c r="A137" s="8" t="s">
        <v>450</v>
      </c>
      <c r="B137" s="8" t="s">
        <v>451</v>
      </c>
      <c r="C137" s="8" t="s">
        <v>31</v>
      </c>
      <c r="D137" s="9" t="n">
        <v>1675.943</v>
      </c>
      <c r="E137" s="9" t="n">
        <v>1511.041</v>
      </c>
      <c r="F137" s="9" t="n">
        <v>1752.57</v>
      </c>
      <c r="G137" s="9" t="n">
        <v>1524.072</v>
      </c>
      <c r="H137" s="9" t="n">
        <v>1686.454</v>
      </c>
      <c r="I137" s="9" t="n">
        <v>379.259</v>
      </c>
      <c r="J137" s="9" t="n">
        <v>309.954</v>
      </c>
      <c r="K137" s="9" t="n">
        <v>334.239</v>
      </c>
      <c r="L137" s="9" t="n">
        <v>236.344</v>
      </c>
      <c r="M137" s="9" t="n">
        <v>327.096</v>
      </c>
      <c r="N137" s="10" t="n">
        <v>-0.00623260403189174</v>
      </c>
      <c r="O137" s="10" t="n">
        <v>0.159473059896789</v>
      </c>
      <c r="P137" s="10" t="n">
        <v>0.109131386904789</v>
      </c>
      <c r="Q137" s="10" t="n">
        <v>-0.137814181459228</v>
      </c>
      <c r="R137" s="10" t="n">
        <v>0.14992598774861</v>
      </c>
      <c r="S137" s="10" t="n">
        <v>-0.0962860534589144</v>
      </c>
      <c r="T137" s="11" t="s">
        <v>35</v>
      </c>
      <c r="U137" s="8" t="s">
        <v>452</v>
      </c>
      <c r="V137" s="8" t="s">
        <v>34</v>
      </c>
      <c r="W137" s="12" t="n">
        <v>262.82</v>
      </c>
      <c r="X137" s="12" t="n">
        <v>178.52</v>
      </c>
      <c r="Y137" s="10" t="n">
        <f aca="false">IF(AND(ISNUMBER(W137),ISNUMBER(X137)),X137/W137-1,"")</f>
        <v>-0.320751845369454</v>
      </c>
      <c r="Z137" s="10" t="n">
        <v>-0.320751848042391</v>
      </c>
      <c r="AA137" s="10" t="n">
        <v>0.0572981580630196</v>
      </c>
      <c r="AB137" s="8"/>
      <c r="AC137" s="10" t="n">
        <f aca="false">IF(AND(ISNUMBER(N137),ISNUMBER(AA137)),N137-AA137,"")</f>
        <v>-0.0635307620949114</v>
      </c>
    </row>
    <row r="138" customFormat="false" ht="15" hidden="false" customHeight="false" outlineLevel="0" collapsed="false">
      <c r="A138" s="8" t="s">
        <v>453</v>
      </c>
      <c r="B138" s="8" t="s">
        <v>454</v>
      </c>
      <c r="C138" s="8" t="s">
        <v>31</v>
      </c>
      <c r="D138" s="9" t="n">
        <v>1173.51</v>
      </c>
      <c r="E138" s="9" t="n">
        <v>1059.365</v>
      </c>
      <c r="F138" s="9" t="n">
        <v>1091.504</v>
      </c>
      <c r="G138" s="9" t="n">
        <v>1114.353</v>
      </c>
      <c r="H138" s="9" t="n">
        <v>1061.169</v>
      </c>
      <c r="I138" s="9" t="n">
        <v>210.433</v>
      </c>
      <c r="J138" s="9" t="n">
        <v>117.291</v>
      </c>
      <c r="K138" s="9" t="n">
        <v>-9.315</v>
      </c>
      <c r="L138" s="9" t="n">
        <v>103.079</v>
      </c>
      <c r="M138" s="9" t="n">
        <v>111.789</v>
      </c>
      <c r="N138" s="10" t="n">
        <v>0.10586532399646</v>
      </c>
      <c r="O138" s="10" t="n">
        <v>0.88241240193579</v>
      </c>
      <c r="P138" s="10" t="n">
        <v>0.107748509720446</v>
      </c>
      <c r="Q138" s="10" t="n">
        <v>-0.0294446928275114</v>
      </c>
      <c r="R138" s="10" t="n">
        <v>-0.0205042746777727</v>
      </c>
      <c r="S138" s="10" t="n">
        <v>0.0501183129171696</v>
      </c>
      <c r="T138" s="11" t="s">
        <v>35</v>
      </c>
      <c r="U138" s="11" t="s">
        <v>455</v>
      </c>
      <c r="V138" s="8" t="s">
        <v>47</v>
      </c>
      <c r="W138" s="12" t="n">
        <v>167.36</v>
      </c>
      <c r="X138" s="12" t="n">
        <v>199.42</v>
      </c>
      <c r="Y138" s="10" t="n">
        <f aca="false">IF(AND(ISNUMBER(W138),ISNUMBER(X138)),X138/W138-1,"")</f>
        <v>0.19156309751434</v>
      </c>
      <c r="Z138" s="10" t="n">
        <v>0.191563082227969</v>
      </c>
      <c r="AA138" s="10" t="n">
        <v>0.0630857435957031</v>
      </c>
      <c r="AB138" s="11" t="s">
        <v>35</v>
      </c>
      <c r="AC138" s="10" t="n">
        <f aca="false">IF(AND(ISNUMBER(N138),ISNUMBER(AA138)),N138-AA138,"")</f>
        <v>0.0427795804007573</v>
      </c>
    </row>
    <row r="139" customFormat="false" ht="15" hidden="false" customHeight="false" outlineLevel="0" collapsed="false">
      <c r="A139" s="8" t="s">
        <v>456</v>
      </c>
      <c r="B139" s="8" t="s">
        <v>457</v>
      </c>
      <c r="C139" s="8" t="s">
        <v>31</v>
      </c>
      <c r="D139" s="9" t="n">
        <v>2047.9</v>
      </c>
      <c r="E139" s="9" t="n">
        <v>1849.6</v>
      </c>
      <c r="F139" s="9" t="n">
        <v>1905</v>
      </c>
      <c r="G139" s="9" t="n">
        <v>1724.9</v>
      </c>
      <c r="H139" s="9" t="n">
        <v>1630</v>
      </c>
      <c r="I139" s="9" t="n">
        <v>689.3</v>
      </c>
      <c r="J139" s="9" t="n">
        <v>580</v>
      </c>
      <c r="K139" s="9" t="n">
        <v>625.6</v>
      </c>
      <c r="L139" s="9" t="n">
        <v>547.3</v>
      </c>
      <c r="M139" s="9" t="n">
        <v>458</v>
      </c>
      <c r="N139" s="10" t="n">
        <v>0.25638036809816</v>
      </c>
      <c r="O139" s="10" t="n">
        <v>0.505021834061135</v>
      </c>
      <c r="P139" s="10" t="n">
        <v>0.107212370242215</v>
      </c>
      <c r="Q139" s="10" t="n">
        <v>-0.0290813648293963</v>
      </c>
      <c r="R139" s="10" t="n">
        <v>0.104411849962317</v>
      </c>
      <c r="S139" s="10" t="n">
        <v>0.0582208588957056</v>
      </c>
      <c r="T139" s="11" t="s">
        <v>35</v>
      </c>
      <c r="U139" s="11" t="s">
        <v>458</v>
      </c>
      <c r="V139" s="8" t="s">
        <v>34</v>
      </c>
      <c r="W139" s="12" t="n">
        <v>83.6</v>
      </c>
      <c r="X139" s="12" t="n">
        <v>178.74</v>
      </c>
      <c r="Y139" s="10" t="n">
        <f aca="false">IF(AND(ISNUMBER(W139),ISNUMBER(X139)),X139/W139-1,"")</f>
        <v>1.13803827751196</v>
      </c>
      <c r="Z139" s="10" t="n">
        <v>1.13803838224344</v>
      </c>
      <c r="AA139" s="10" t="n">
        <v>0.136442864114899</v>
      </c>
      <c r="AB139" s="8"/>
      <c r="AC139" s="10" t="n">
        <f aca="false">IF(AND(ISNUMBER(N139),ISNUMBER(AA139)),N139-AA139,"")</f>
        <v>0.11993750398326</v>
      </c>
    </row>
    <row r="140" customFormat="false" ht="15" hidden="false" customHeight="false" outlineLevel="0" collapsed="false">
      <c r="A140" s="8" t="s">
        <v>459</v>
      </c>
      <c r="B140" s="8" t="s">
        <v>460</v>
      </c>
      <c r="C140" s="8" t="s">
        <v>31</v>
      </c>
      <c r="D140" s="9" t="n">
        <v>22681</v>
      </c>
      <c r="E140" s="9" t="n">
        <v>20490</v>
      </c>
      <c r="F140" s="9" t="n">
        <v>18556</v>
      </c>
      <c r="G140" s="9" t="n">
        <v>20372</v>
      </c>
      <c r="H140" s="9" t="n">
        <v>21166</v>
      </c>
      <c r="I140" s="9" t="n">
        <v>909</v>
      </c>
      <c r="J140" s="9" t="n">
        <v>261</v>
      </c>
      <c r="K140" s="9" t="n">
        <v>320</v>
      </c>
      <c r="L140" s="9" t="n">
        <v>397</v>
      </c>
      <c r="M140" s="9" t="n">
        <v>459</v>
      </c>
      <c r="N140" s="10" t="n">
        <v>0.0715770575451196</v>
      </c>
      <c r="O140" s="10" t="n">
        <v>0.980392156862745</v>
      </c>
      <c r="P140" s="10" t="n">
        <v>0.106930209858468</v>
      </c>
      <c r="Q140" s="10" t="n">
        <v>0.104225048501832</v>
      </c>
      <c r="R140" s="10" t="n">
        <v>-0.0891419595523267</v>
      </c>
      <c r="S140" s="10" t="n">
        <v>-0.0375129925351979</v>
      </c>
      <c r="T140" s="11" t="s">
        <v>35</v>
      </c>
      <c r="U140" s="11" t="s">
        <v>461</v>
      </c>
      <c r="V140" s="8" t="s">
        <v>84</v>
      </c>
      <c r="W140" s="12" t="n">
        <v>61.48</v>
      </c>
      <c r="X140" s="12" t="n">
        <v>82.15</v>
      </c>
      <c r="Y140" s="10" t="n">
        <f aca="false">IF(AND(ISNUMBER(W140),ISNUMBER(X140)),X140/W140-1,"")</f>
        <v>0.336206896551724</v>
      </c>
      <c r="Z140" s="10" t="n">
        <v>0.375247947054902</v>
      </c>
      <c r="AA140" s="10" t="n">
        <v>-0.0486335850413521</v>
      </c>
      <c r="AB140" s="8"/>
      <c r="AC140" s="10" t="n">
        <f aca="false">IF(AND(ISNUMBER(N140),ISNUMBER(AA140)),N140-AA140,"")</f>
        <v>0.120210642586472</v>
      </c>
    </row>
    <row r="141" customFormat="false" ht="15" hidden="false" customHeight="false" outlineLevel="0" collapsed="false">
      <c r="A141" s="8" t="s">
        <v>462</v>
      </c>
      <c r="B141" s="8" t="s">
        <v>463</v>
      </c>
      <c r="C141" s="8" t="s">
        <v>31</v>
      </c>
      <c r="D141" s="9" t="n">
        <v>3905.8</v>
      </c>
      <c r="E141" s="9" t="n">
        <v>3529.1</v>
      </c>
      <c r="F141" s="9" t="n">
        <v>4576.7</v>
      </c>
      <c r="G141" s="9" t="n">
        <v>3681.6</v>
      </c>
      <c r="H141" s="9" t="n">
        <v>3671.3</v>
      </c>
      <c r="I141" s="8"/>
      <c r="J141" s="8"/>
      <c r="K141" s="8"/>
      <c r="L141" s="8"/>
      <c r="M141" s="8"/>
      <c r="N141" s="10" t="n">
        <v>0.0638738321575463</v>
      </c>
      <c r="O141" s="8"/>
      <c r="P141" s="10" t="n">
        <v>0.106741095463433</v>
      </c>
      <c r="Q141" s="10" t="n">
        <v>-0.228898551357965</v>
      </c>
      <c r="R141" s="10" t="n">
        <v>0.243127987831378</v>
      </c>
      <c r="S141" s="10" t="n">
        <v>0.00280554571949998</v>
      </c>
      <c r="T141" s="11" t="s">
        <v>35</v>
      </c>
      <c r="U141" s="11" t="s">
        <v>464</v>
      </c>
      <c r="V141" s="8" t="s">
        <v>51</v>
      </c>
      <c r="W141" s="12" t="n">
        <v>81.84</v>
      </c>
      <c r="X141" s="12" t="n">
        <v>113.92</v>
      </c>
      <c r="Y141" s="10" t="n">
        <f aca="false">IF(AND(ISNUMBER(W141),ISNUMBER(X141)),X141/W141-1,"")</f>
        <v>0.391984359726295</v>
      </c>
      <c r="Z141" s="10" t="n">
        <v>0.439965892270377</v>
      </c>
      <c r="AA141" s="10" t="n">
        <v>-0.148348334415886</v>
      </c>
      <c r="AB141" s="8"/>
      <c r="AC141" s="10" t="n">
        <f aca="false">IF(AND(ISNUMBER(N141),ISNUMBER(AA141)),N141-AA141,"")</f>
        <v>0.212222166573432</v>
      </c>
    </row>
    <row r="142" customFormat="false" ht="15" hidden="false" customHeight="false" outlineLevel="0" collapsed="false">
      <c r="A142" s="8" t="s">
        <v>465</v>
      </c>
      <c r="B142" s="8" t="s">
        <v>466</v>
      </c>
      <c r="C142" s="8" t="s">
        <v>31</v>
      </c>
      <c r="D142" s="9" t="n">
        <v>4410</v>
      </c>
      <c r="E142" s="9" t="n">
        <v>3985</v>
      </c>
      <c r="F142" s="9" t="n">
        <v>4208</v>
      </c>
      <c r="G142" s="9" t="n">
        <v>4229</v>
      </c>
      <c r="H142" s="9" t="n">
        <v>3943</v>
      </c>
      <c r="I142" s="9" t="n">
        <v>1144</v>
      </c>
      <c r="J142" s="9" t="n">
        <v>914</v>
      </c>
      <c r="K142" s="9" t="n">
        <v>1052</v>
      </c>
      <c r="L142" s="9" t="n">
        <v>1114</v>
      </c>
      <c r="M142" s="9" t="n">
        <v>1003</v>
      </c>
      <c r="N142" s="10" t="n">
        <v>0.118437737763125</v>
      </c>
      <c r="O142" s="10" t="n">
        <v>0.140578265204387</v>
      </c>
      <c r="P142" s="10" t="n">
        <v>0.106649937264743</v>
      </c>
      <c r="Q142" s="10" t="n">
        <v>-0.0529942965779467</v>
      </c>
      <c r="R142" s="10" t="n">
        <v>-0.00496571293449988</v>
      </c>
      <c r="S142" s="10" t="n">
        <v>0.0725336038549327</v>
      </c>
      <c r="T142" s="11" t="s">
        <v>35</v>
      </c>
      <c r="U142" s="11" t="s">
        <v>467</v>
      </c>
      <c r="V142" s="8" t="s">
        <v>47</v>
      </c>
      <c r="W142" s="12" t="n">
        <v>935.78</v>
      </c>
      <c r="X142" s="12" t="n">
        <v>1031.99</v>
      </c>
      <c r="Y142" s="10" t="n">
        <f aca="false">IF(AND(ISNUMBER(W142),ISNUMBER(X142)),X142/W142-1,"")</f>
        <v>0.102812626899485</v>
      </c>
      <c r="Z142" s="10" t="n">
        <v>0.111818475331133</v>
      </c>
      <c r="AA142" s="10" t="n">
        <v>0.0450569838324941</v>
      </c>
      <c r="AB142" s="8"/>
      <c r="AC142" s="10" t="n">
        <f aca="false">IF(AND(ISNUMBER(N142),ISNUMBER(AA142)),N142-AA142,"")</f>
        <v>0.0733807539306304</v>
      </c>
    </row>
    <row r="143" customFormat="false" ht="15" hidden="false" customHeight="false" outlineLevel="0" collapsed="false">
      <c r="A143" s="8" t="s">
        <v>468</v>
      </c>
      <c r="B143" s="8" t="s">
        <v>469</v>
      </c>
      <c r="C143" s="8" t="s">
        <v>31</v>
      </c>
      <c r="D143" s="9" t="n">
        <v>9277</v>
      </c>
      <c r="E143" s="9" t="n">
        <v>8398</v>
      </c>
      <c r="F143" s="9" t="n">
        <v>8806</v>
      </c>
      <c r="G143" s="9" t="n">
        <v>8602</v>
      </c>
      <c r="H143" s="9" t="n">
        <v>8133</v>
      </c>
      <c r="I143" s="9" t="n">
        <v>5728</v>
      </c>
      <c r="J143" s="9" t="n">
        <v>4965</v>
      </c>
      <c r="K143" s="9" t="n">
        <v>5129</v>
      </c>
      <c r="L143" s="9" t="n">
        <v>5170</v>
      </c>
      <c r="M143" s="9" t="n">
        <v>4914</v>
      </c>
      <c r="N143" s="10" t="n">
        <v>0.140661502520595</v>
      </c>
      <c r="O143" s="10" t="n">
        <v>0.165649165649166</v>
      </c>
      <c r="P143" s="10" t="n">
        <v>0.104667778042391</v>
      </c>
      <c r="Q143" s="10" t="n">
        <v>-0.0463320463320464</v>
      </c>
      <c r="R143" s="10" t="n">
        <v>0.0237154150197629</v>
      </c>
      <c r="S143" s="10" t="n">
        <v>0.0576662977990901</v>
      </c>
      <c r="T143" s="11" t="s">
        <v>35</v>
      </c>
      <c r="U143" s="11" t="s">
        <v>470</v>
      </c>
      <c r="V143" s="8" t="s">
        <v>51</v>
      </c>
      <c r="W143" s="12" t="n">
        <v>568.81</v>
      </c>
      <c r="X143" s="12" t="n">
        <v>559.92</v>
      </c>
      <c r="Y143" s="10" t="n">
        <f aca="false">IF(AND(ISNUMBER(W143),ISNUMBER(X143)),X143/W143-1,"")</f>
        <v>-0.0156291204444367</v>
      </c>
      <c r="Z143" s="10" t="n">
        <v>-0.00949494194782197</v>
      </c>
      <c r="AA143" s="10" t="n">
        <v>0.168366613992242</v>
      </c>
      <c r="AB143" s="11" t="s">
        <v>35</v>
      </c>
      <c r="AC143" s="10" t="n">
        <f aca="false">IF(AND(ISNUMBER(N143),ISNUMBER(AA143)),N143-AA143,"")</f>
        <v>-0.0277051114716473</v>
      </c>
    </row>
    <row r="144" customFormat="false" ht="15" hidden="false" customHeight="false" outlineLevel="0" collapsed="false">
      <c r="A144" s="8" t="s">
        <v>471</v>
      </c>
      <c r="B144" s="8" t="s">
        <v>472</v>
      </c>
      <c r="C144" s="8" t="s">
        <v>31</v>
      </c>
      <c r="D144" s="9" t="n">
        <v>2736</v>
      </c>
      <c r="E144" s="9" t="n">
        <v>2477.8</v>
      </c>
      <c r="F144" s="9" t="n">
        <v>2279.4</v>
      </c>
      <c r="G144" s="9" t="n">
        <v>2534.7</v>
      </c>
      <c r="H144" s="9" t="n">
        <v>2645.5</v>
      </c>
      <c r="I144" s="9" t="n">
        <v>482.8</v>
      </c>
      <c r="J144" s="9" t="n">
        <v>459.8</v>
      </c>
      <c r="K144" s="9" t="n">
        <v>385.5</v>
      </c>
      <c r="L144" s="9" t="n">
        <v>606.5</v>
      </c>
      <c r="M144" s="9" t="n">
        <v>851.8</v>
      </c>
      <c r="N144" s="10" t="n">
        <v>0.0342090342090342</v>
      </c>
      <c r="O144" s="10" t="n">
        <v>-0.433200281756281</v>
      </c>
      <c r="P144" s="10" t="n">
        <v>0.104205343449835</v>
      </c>
      <c r="Q144" s="10" t="n">
        <v>0.0870404492410284</v>
      </c>
      <c r="R144" s="10" t="n">
        <v>-0.100721978932418</v>
      </c>
      <c r="S144" s="10" t="n">
        <v>-0.0418824418824418</v>
      </c>
      <c r="T144" s="11" t="s">
        <v>35</v>
      </c>
      <c r="U144" s="11" t="s">
        <v>473</v>
      </c>
      <c r="V144" s="8" t="s">
        <v>147</v>
      </c>
      <c r="W144" s="12" t="n">
        <v>137.67</v>
      </c>
      <c r="X144" s="12" t="n">
        <v>227.53</v>
      </c>
      <c r="Y144" s="10" t="n">
        <f aca="false">IF(AND(ISNUMBER(W144),ISNUMBER(X144)),X144/W144-1,"")</f>
        <v>0.652720273116874</v>
      </c>
      <c r="Z144" s="10" t="n">
        <v>0.6527202862317</v>
      </c>
      <c r="AA144" s="10" t="n">
        <v>0.0732686924418839</v>
      </c>
      <c r="AB144" s="8"/>
      <c r="AC144" s="10" t="n">
        <f aca="false">IF(AND(ISNUMBER(N144),ISNUMBER(AA144)),N144-AA144,"")</f>
        <v>-0.0390596582328497</v>
      </c>
    </row>
    <row r="145" customFormat="false" ht="15" hidden="false" customHeight="false" outlineLevel="0" collapsed="false">
      <c r="A145" s="8" t="s">
        <v>474</v>
      </c>
      <c r="B145" s="8" t="s">
        <v>475</v>
      </c>
      <c r="C145" s="8" t="s">
        <v>31</v>
      </c>
      <c r="D145" s="9" t="n">
        <v>6864</v>
      </c>
      <c r="E145" s="9" t="n">
        <v>6217</v>
      </c>
      <c r="F145" s="9" t="n">
        <v>6085</v>
      </c>
      <c r="G145" s="9" t="n">
        <v>6244</v>
      </c>
      <c r="H145" s="9" t="n">
        <v>6154</v>
      </c>
      <c r="I145" s="9" t="n">
        <v>2763</v>
      </c>
      <c r="J145" s="9" t="n">
        <v>2458</v>
      </c>
      <c r="K145" s="9" t="n">
        <v>2401</v>
      </c>
      <c r="L145" s="9" t="n">
        <v>2549</v>
      </c>
      <c r="M145" s="9" t="n">
        <v>2525</v>
      </c>
      <c r="N145" s="10" t="n">
        <v>0.115372115697108</v>
      </c>
      <c r="O145" s="10" t="n">
        <v>0.0942574257425743</v>
      </c>
      <c r="P145" s="10" t="n">
        <v>0.104069486890783</v>
      </c>
      <c r="Q145" s="10" t="n">
        <v>0.0216926869350862</v>
      </c>
      <c r="R145" s="10" t="n">
        <v>-0.0254644458680333</v>
      </c>
      <c r="S145" s="10" t="n">
        <v>0.0146246343841403</v>
      </c>
      <c r="T145" s="11" t="s">
        <v>35</v>
      </c>
      <c r="U145" s="11" t="s">
        <v>476</v>
      </c>
      <c r="V145" s="8" t="s">
        <v>47</v>
      </c>
      <c r="W145" s="12" t="n">
        <v>230.36</v>
      </c>
      <c r="X145" s="12" t="n">
        <v>275.53</v>
      </c>
      <c r="Y145" s="10" t="n">
        <f aca="false">IF(AND(ISNUMBER(W145),ISNUMBER(X145)),X145/W145-1,"")</f>
        <v>0.196084389650981</v>
      </c>
      <c r="Z145" s="10" t="n">
        <v>0.221292880795273</v>
      </c>
      <c r="AA145" s="10" t="n">
        <v>0.0244714499750292</v>
      </c>
      <c r="AB145" s="8"/>
      <c r="AC145" s="10" t="n">
        <f aca="false">IF(AND(ISNUMBER(N145),ISNUMBER(AA145)),N145-AA145,"")</f>
        <v>0.0909006657220784</v>
      </c>
    </row>
    <row r="146" customFormat="false" ht="15" hidden="false" customHeight="false" outlineLevel="0" collapsed="false">
      <c r="A146" s="8" t="s">
        <v>477</v>
      </c>
      <c r="B146" s="8" t="s">
        <v>478</v>
      </c>
      <c r="C146" s="8" t="s">
        <v>38</v>
      </c>
      <c r="D146" s="9" t="n">
        <v>817.667</v>
      </c>
      <c r="E146" s="9" t="n">
        <v>740.847</v>
      </c>
      <c r="F146" s="9" t="n">
        <v>669.461</v>
      </c>
      <c r="G146" s="9" t="n">
        <v>751.82</v>
      </c>
      <c r="H146" s="9" t="n">
        <v>741.509</v>
      </c>
      <c r="I146" s="9" t="n">
        <v>223.092</v>
      </c>
      <c r="J146" s="9" t="n">
        <v>197.203</v>
      </c>
      <c r="K146" s="9" t="n">
        <v>166.405</v>
      </c>
      <c r="L146" s="9" t="n">
        <v>214.595</v>
      </c>
      <c r="M146" s="9" t="n">
        <v>199.978</v>
      </c>
      <c r="N146" s="10" t="n">
        <v>0.102706777665544</v>
      </c>
      <c r="O146" s="10" t="n">
        <v>0.115582714098551</v>
      </c>
      <c r="P146" s="10" t="n">
        <v>0.103692125364616</v>
      </c>
      <c r="Q146" s="10" t="n">
        <v>0.106632051755069</v>
      </c>
      <c r="R146" s="10" t="n">
        <v>-0.109546167965737</v>
      </c>
      <c r="S146" s="10" t="n">
        <v>0.013905427985365</v>
      </c>
      <c r="T146" s="11" t="s">
        <v>35</v>
      </c>
      <c r="U146" s="11" t="s">
        <v>479</v>
      </c>
      <c r="V146" s="8" t="s">
        <v>47</v>
      </c>
      <c r="W146" s="12" t="n">
        <v>223.12</v>
      </c>
      <c r="X146" s="12" t="n">
        <v>321.42</v>
      </c>
      <c r="Y146" s="10" t="n">
        <f aca="false">IF(AND(ISNUMBER(W146),ISNUMBER(X146)),X146/W146-1,"")</f>
        <v>0.440570096808892</v>
      </c>
      <c r="Z146" s="10" t="n">
        <v>0.458504868864897</v>
      </c>
      <c r="AA146" s="10" t="n">
        <v>0.120774662789221</v>
      </c>
      <c r="AB146" s="8"/>
      <c r="AC146" s="10" t="n">
        <f aca="false">IF(AND(ISNUMBER(N146),ISNUMBER(AA146)),N146-AA146,"")</f>
        <v>-0.0180678851236773</v>
      </c>
    </row>
    <row r="147" customFormat="false" ht="15" hidden="false" customHeight="false" outlineLevel="0" collapsed="false">
      <c r="A147" s="8" t="s">
        <v>480</v>
      </c>
      <c r="B147" s="8" t="s">
        <v>481</v>
      </c>
      <c r="C147" s="8" t="s">
        <v>31</v>
      </c>
      <c r="D147" s="9" t="n">
        <v>4454</v>
      </c>
      <c r="E147" s="9" t="n">
        <v>4036</v>
      </c>
      <c r="F147" s="9" t="n">
        <v>3955</v>
      </c>
      <c r="G147" s="9" t="n">
        <v>3446</v>
      </c>
      <c r="H147" s="9" t="n">
        <v>3284</v>
      </c>
      <c r="I147" s="9" t="n">
        <v>158</v>
      </c>
      <c r="J147" s="9" t="n">
        <v>199</v>
      </c>
      <c r="K147" s="9" t="n">
        <v>147</v>
      </c>
      <c r="L147" s="9" t="n">
        <v>259</v>
      </c>
      <c r="M147" s="9" t="n">
        <v>163</v>
      </c>
      <c r="N147" s="10" t="n">
        <v>0.356272838002436</v>
      </c>
      <c r="O147" s="10" t="n">
        <v>-0.0306748466257669</v>
      </c>
      <c r="P147" s="10" t="n">
        <v>0.103567888999009</v>
      </c>
      <c r="Q147" s="10" t="n">
        <v>0.020480404551201</v>
      </c>
      <c r="R147" s="10" t="n">
        <v>0.147707486941381</v>
      </c>
      <c r="S147" s="10" t="n">
        <v>0.0493300852618757</v>
      </c>
      <c r="T147" s="11" t="s">
        <v>35</v>
      </c>
      <c r="U147" s="11" t="s">
        <v>482</v>
      </c>
      <c r="V147" s="8" t="s">
        <v>43</v>
      </c>
      <c r="W147" s="12" t="n">
        <v>260.74</v>
      </c>
      <c r="X147" s="12" t="n">
        <v>189.27</v>
      </c>
      <c r="Y147" s="10" t="n">
        <f aca="false">IF(AND(ISNUMBER(W147),ISNUMBER(X147)),X147/W147-1,"")</f>
        <v>-0.274104471887704</v>
      </c>
      <c r="Z147" s="10" t="n">
        <v>-0.274104428314471</v>
      </c>
      <c r="AA147" s="10" t="n">
        <v>0.248669201520913</v>
      </c>
      <c r="AB147" s="8"/>
      <c r="AC147" s="10" t="n">
        <f aca="false">IF(AND(ISNUMBER(N147),ISNUMBER(AA147)),N147-AA147,"")</f>
        <v>0.107603636481523</v>
      </c>
    </row>
    <row r="148" customFormat="false" ht="15" hidden="false" customHeight="false" outlineLevel="0" collapsed="false">
      <c r="A148" s="8" t="s">
        <v>483</v>
      </c>
      <c r="B148" s="8" t="s">
        <v>484</v>
      </c>
      <c r="C148" s="8" t="s">
        <v>31</v>
      </c>
      <c r="D148" s="9" t="n">
        <v>4076.41</v>
      </c>
      <c r="E148" s="9" t="n">
        <v>3694.881</v>
      </c>
      <c r="F148" s="9" t="n">
        <v>3293.281</v>
      </c>
      <c r="G148" s="9" t="n">
        <v>3154.644</v>
      </c>
      <c r="H148" s="9" t="n">
        <v>3031.768</v>
      </c>
      <c r="I148" s="9" t="n">
        <v>286.703</v>
      </c>
      <c r="J148" s="9" t="n">
        <v>-81.176</v>
      </c>
      <c r="K148" s="9" t="n">
        <v>232.561</v>
      </c>
      <c r="L148" s="9" t="n">
        <v>211.555</v>
      </c>
      <c r="M148" s="9" t="n">
        <v>235.014</v>
      </c>
      <c r="N148" s="10" t="n">
        <v>0.344565283359413</v>
      </c>
      <c r="O148" s="10" t="n">
        <v>0.219940088675568</v>
      </c>
      <c r="P148" s="10" t="n">
        <v>0.103258805899297</v>
      </c>
      <c r="Q148" s="10" t="n">
        <v>0.121945257632131</v>
      </c>
      <c r="R148" s="10" t="n">
        <v>0.043946955662826</v>
      </c>
      <c r="S148" s="10" t="n">
        <v>0.0405294864250827</v>
      </c>
      <c r="T148" s="11" t="s">
        <v>35</v>
      </c>
      <c r="U148" s="11" t="s">
        <v>485</v>
      </c>
      <c r="V148" s="8" t="s">
        <v>47</v>
      </c>
      <c r="W148" s="12" t="n">
        <v>147.46</v>
      </c>
      <c r="X148" s="12" t="n">
        <v>141.12</v>
      </c>
      <c r="Y148" s="10" t="n">
        <f aca="false">IF(AND(ISNUMBER(W148),ISNUMBER(X148)),X148/W148-1,"")</f>
        <v>-0.0429947104299472</v>
      </c>
      <c r="Z148" s="10" t="n">
        <v>-0.0327989787980966</v>
      </c>
      <c r="AA148" s="10" t="n">
        <v>0.0514617546604961</v>
      </c>
      <c r="AB148" s="8"/>
      <c r="AC148" s="10" t="n">
        <f aca="false">IF(AND(ISNUMBER(N148),ISNUMBER(AA148)),N148-AA148,"")</f>
        <v>0.293103528698917</v>
      </c>
    </row>
    <row r="149" customFormat="false" ht="15" hidden="false" customHeight="false" outlineLevel="0" collapsed="false">
      <c r="A149" s="8" t="s">
        <v>486</v>
      </c>
      <c r="B149" s="8" t="s">
        <v>487</v>
      </c>
      <c r="C149" s="8" t="s">
        <v>31</v>
      </c>
      <c r="D149" s="9" t="n">
        <v>11192</v>
      </c>
      <c r="E149" s="9" t="n">
        <v>10146</v>
      </c>
      <c r="F149" s="9" t="n">
        <v>10362</v>
      </c>
      <c r="G149" s="9" t="n">
        <v>10845</v>
      </c>
      <c r="H149" s="9" t="n">
        <v>10140</v>
      </c>
      <c r="I149" s="9" t="n">
        <v>4530</v>
      </c>
      <c r="J149" s="9" t="n">
        <v>3893</v>
      </c>
      <c r="K149" s="9" t="n">
        <v>3373</v>
      </c>
      <c r="L149" s="9" t="n">
        <v>4263</v>
      </c>
      <c r="M149" s="9" t="n">
        <v>3753</v>
      </c>
      <c r="N149" s="10" t="n">
        <v>0.103747534516765</v>
      </c>
      <c r="O149" s="10" t="n">
        <v>0.207034372501998</v>
      </c>
      <c r="P149" s="10" t="n">
        <v>0.103094815690913</v>
      </c>
      <c r="Q149" s="10" t="n">
        <v>-0.020845396641575</v>
      </c>
      <c r="R149" s="10" t="n">
        <v>-0.044536652835408</v>
      </c>
      <c r="S149" s="10" t="n">
        <v>0.069526627218935</v>
      </c>
      <c r="T149" s="11" t="s">
        <v>35</v>
      </c>
      <c r="U149" s="11" t="s">
        <v>488</v>
      </c>
      <c r="V149" s="8" t="s">
        <v>84</v>
      </c>
      <c r="W149" s="12" t="n">
        <v>163</v>
      </c>
      <c r="X149" s="12" t="n">
        <v>190.84</v>
      </c>
      <c r="Y149" s="10" t="n">
        <f aca="false">IF(AND(ISNUMBER(W149),ISNUMBER(X149)),X149/W149-1,"")</f>
        <v>0.17079754601227</v>
      </c>
      <c r="Z149" s="10" t="n">
        <v>0.213199674226783</v>
      </c>
      <c r="AA149" s="10" t="n">
        <v>0.0709759188846642</v>
      </c>
      <c r="AB149" s="8"/>
      <c r="AC149" s="10" t="n">
        <f aca="false">IF(AND(ISNUMBER(N149),ISNUMBER(AA149)),N149-AA149,"")</f>
        <v>0.0327716156321012</v>
      </c>
    </row>
    <row r="150" customFormat="false" ht="15" hidden="false" customHeight="false" outlineLevel="0" collapsed="false">
      <c r="A150" s="8" t="s">
        <v>489</v>
      </c>
      <c r="B150" s="8" t="s">
        <v>490</v>
      </c>
      <c r="C150" s="8" t="s">
        <v>31</v>
      </c>
      <c r="D150" s="9" t="n">
        <v>3418</v>
      </c>
      <c r="E150" s="9" t="n">
        <v>3099</v>
      </c>
      <c r="F150" s="9" t="n">
        <v>3476</v>
      </c>
      <c r="G150" s="9" t="n">
        <v>3192</v>
      </c>
      <c r="H150" s="9" t="n">
        <v>3082</v>
      </c>
      <c r="I150" s="9" t="n">
        <v>189</v>
      </c>
      <c r="J150" s="9" t="n">
        <v>150</v>
      </c>
      <c r="K150" s="9" t="n">
        <v>159</v>
      </c>
      <c r="L150" s="9" t="n">
        <v>149</v>
      </c>
      <c r="M150" s="9" t="n">
        <v>155</v>
      </c>
      <c r="N150" s="10" t="n">
        <v>0.109020116807268</v>
      </c>
      <c r="O150" s="10" t="n">
        <v>0.219354838709677</v>
      </c>
      <c r="P150" s="10" t="n">
        <v>0.102936431106809</v>
      </c>
      <c r="Q150" s="10" t="n">
        <v>-0.108457997698504</v>
      </c>
      <c r="R150" s="10" t="n">
        <v>0.0889724310776943</v>
      </c>
      <c r="S150" s="10" t="n">
        <v>0.035691109669046</v>
      </c>
      <c r="T150" s="11" t="s">
        <v>35</v>
      </c>
      <c r="U150" s="11" t="s">
        <v>491</v>
      </c>
      <c r="V150" s="8" t="s">
        <v>47</v>
      </c>
      <c r="W150" s="12" t="n">
        <v>277.51</v>
      </c>
      <c r="X150" s="12" t="n">
        <v>269.8</v>
      </c>
      <c r="Y150" s="10" t="n">
        <f aca="false">IF(AND(ISNUMBER(W150),ISNUMBER(X150)),X150/W150-1,"")</f>
        <v>-0.0277827826024287</v>
      </c>
      <c r="Z150" s="10" t="n">
        <v>-0.0116254227459484</v>
      </c>
      <c r="AA150" s="10" t="n">
        <v>0.0352704064494458</v>
      </c>
      <c r="AB150" s="11" t="s">
        <v>35</v>
      </c>
      <c r="AC150" s="10" t="n">
        <f aca="false">IF(AND(ISNUMBER(N150),ISNUMBER(AA150)),N150-AA150,"")</f>
        <v>0.0737497103578222</v>
      </c>
    </row>
    <row r="151" customFormat="false" ht="15" hidden="false" customHeight="false" outlineLevel="0" collapsed="false">
      <c r="A151" s="8" t="s">
        <v>492</v>
      </c>
      <c r="B151" s="8" t="s">
        <v>493</v>
      </c>
      <c r="C151" s="8" t="s">
        <v>494</v>
      </c>
      <c r="D151" s="9" t="n">
        <v>1237.066</v>
      </c>
      <c r="E151" s="9" t="n">
        <v>1121.674</v>
      </c>
      <c r="F151" s="9" t="n">
        <v>1155.03</v>
      </c>
      <c r="G151" s="9" t="n">
        <v>1125.097</v>
      </c>
      <c r="H151" s="9" t="n">
        <v>1211.716</v>
      </c>
      <c r="I151" s="9" t="n">
        <v>464.282</v>
      </c>
      <c r="J151" s="9" t="n">
        <v>388.71</v>
      </c>
      <c r="K151" s="9" t="n">
        <v>430.694</v>
      </c>
      <c r="L151" s="9" t="n">
        <v>412.591</v>
      </c>
      <c r="M151" s="9" t="n">
        <v>451.545</v>
      </c>
      <c r="N151" s="10" t="n">
        <v>0.0209207438046539</v>
      </c>
      <c r="O151" s="10" t="n">
        <v>0.0282075983567529</v>
      </c>
      <c r="P151" s="10" t="n">
        <v>0.102874810328135</v>
      </c>
      <c r="Q151" s="10" t="n">
        <v>-0.0288789035782621</v>
      </c>
      <c r="R151" s="10" t="n">
        <v>0.0266048171846516</v>
      </c>
      <c r="S151" s="10" t="n">
        <v>-0.0714845722925174</v>
      </c>
      <c r="T151" s="11" t="s">
        <v>35</v>
      </c>
      <c r="U151" s="11" t="s">
        <v>495</v>
      </c>
      <c r="V151" s="8" t="s">
        <v>47</v>
      </c>
      <c r="W151" s="12" t="n">
        <v>45.39</v>
      </c>
      <c r="X151" s="12" t="n">
        <v>28.87</v>
      </c>
      <c r="Y151" s="10" t="n">
        <f aca="false">IF(AND(ISNUMBER(W151),ISNUMBER(X151)),X151/W151-1,"")</f>
        <v>-0.363956818682529</v>
      </c>
      <c r="Z151" s="10" t="n">
        <v>-0.363956791640375</v>
      </c>
      <c r="AA151" s="10" t="n">
        <v>0.0749224446200918</v>
      </c>
      <c r="AB151" s="8"/>
      <c r="AC151" s="10" t="n">
        <f aca="false">IF(AND(ISNUMBER(N151),ISNUMBER(AA151)),N151-AA151,"")</f>
        <v>-0.0540017008154379</v>
      </c>
    </row>
    <row r="152" customFormat="false" ht="15" hidden="false" customHeight="false" outlineLevel="0" collapsed="false">
      <c r="A152" s="8" t="s">
        <v>496</v>
      </c>
      <c r="B152" s="8" t="s">
        <v>497</v>
      </c>
      <c r="C152" s="8" t="s">
        <v>31</v>
      </c>
      <c r="D152" s="9" t="n">
        <v>2837</v>
      </c>
      <c r="E152" s="9" t="n">
        <v>2573</v>
      </c>
      <c r="F152" s="9" t="n">
        <v>2139</v>
      </c>
      <c r="G152" s="9" t="n">
        <v>2134</v>
      </c>
      <c r="H152" s="9" t="n">
        <v>1938</v>
      </c>
      <c r="I152" s="8"/>
      <c r="J152" s="8"/>
      <c r="K152" s="8"/>
      <c r="L152" s="8"/>
      <c r="M152" s="8"/>
      <c r="N152" s="10" t="n">
        <v>0.463880288957688</v>
      </c>
      <c r="O152" s="8"/>
      <c r="P152" s="10" t="n">
        <v>0.102603964244073</v>
      </c>
      <c r="Q152" s="10" t="n">
        <v>0.202898550724638</v>
      </c>
      <c r="R152" s="10" t="n">
        <v>0.00234301780693524</v>
      </c>
      <c r="S152" s="10" t="n">
        <v>0.101135190918473</v>
      </c>
      <c r="T152" s="11" t="s">
        <v>35</v>
      </c>
      <c r="U152" s="11" t="s">
        <v>498</v>
      </c>
      <c r="V152" s="8" t="s">
        <v>51</v>
      </c>
      <c r="W152" s="12" t="n">
        <v>17.37</v>
      </c>
      <c r="X152" s="12" t="n">
        <v>15.38</v>
      </c>
      <c r="Y152" s="10" t="n">
        <f aca="false">IF(AND(ISNUMBER(W152),ISNUMBER(X152)),X152/W152-1,"")</f>
        <v>-0.114565342544617</v>
      </c>
      <c r="Z152" s="10" t="n">
        <v>-0.0805207868189669</v>
      </c>
      <c r="AA152" s="10" t="n">
        <v>0.0472222222222223</v>
      </c>
      <c r="AB152" s="8"/>
      <c r="AC152" s="10" t="n">
        <f aca="false">IF(AND(ISNUMBER(N152),ISNUMBER(AA152)),N152-AA152,"")</f>
        <v>0.416658066735466</v>
      </c>
    </row>
    <row r="153" customFormat="false" ht="15" hidden="false" customHeight="false" outlineLevel="0" collapsed="false">
      <c r="A153" s="8" t="s">
        <v>499</v>
      </c>
      <c r="B153" s="8" t="s">
        <v>500</v>
      </c>
      <c r="C153" s="8" t="s">
        <v>31</v>
      </c>
      <c r="D153" s="9" t="n">
        <v>2209</v>
      </c>
      <c r="E153" s="9" t="n">
        <v>2006</v>
      </c>
      <c r="F153" s="9" t="n">
        <v>1998</v>
      </c>
      <c r="G153" s="9" t="n">
        <v>2096</v>
      </c>
      <c r="H153" s="9" t="n">
        <v>2161</v>
      </c>
      <c r="I153" s="9" t="n">
        <v>181</v>
      </c>
      <c r="J153" s="9" t="n">
        <v>79</v>
      </c>
      <c r="K153" s="9" t="n">
        <v>93</v>
      </c>
      <c r="L153" s="9" t="n">
        <v>172</v>
      </c>
      <c r="M153" s="9" t="n">
        <v>214</v>
      </c>
      <c r="N153" s="10" t="n">
        <v>0.022211938917168</v>
      </c>
      <c r="O153" s="10" t="n">
        <v>-0.154205607476636</v>
      </c>
      <c r="P153" s="10" t="n">
        <v>0.101196410767697</v>
      </c>
      <c r="Q153" s="10" t="n">
        <v>0.00400400400400391</v>
      </c>
      <c r="R153" s="10" t="n">
        <v>-0.0467557251908397</v>
      </c>
      <c r="S153" s="10" t="n">
        <v>-0.0300786672836649</v>
      </c>
      <c r="T153" s="11" t="s">
        <v>35</v>
      </c>
      <c r="U153" s="11" t="s">
        <v>501</v>
      </c>
      <c r="V153" s="8" t="s">
        <v>147</v>
      </c>
      <c r="W153" s="12" t="n">
        <v>71.82</v>
      </c>
      <c r="X153" s="12" t="n">
        <v>88.37</v>
      </c>
      <c r="Y153" s="10" t="n">
        <f aca="false">IF(AND(ISNUMBER(W153),ISNUMBER(X153)),X153/W153-1,"")</f>
        <v>0.230437204121415</v>
      </c>
      <c r="Z153" s="10" t="n">
        <v>0.230437247592338</v>
      </c>
      <c r="AA153" s="10" t="n">
        <v>0.0384430562229696</v>
      </c>
      <c r="AB153" s="8"/>
      <c r="AC153" s="10" t="n">
        <f aca="false">IF(AND(ISNUMBER(N153),ISNUMBER(AA153)),N153-AA153,"")</f>
        <v>-0.0162311173058016</v>
      </c>
    </row>
    <row r="154" customFormat="false" ht="15" hidden="false" customHeight="false" outlineLevel="0" collapsed="false">
      <c r="A154" s="8" t="s">
        <v>502</v>
      </c>
      <c r="B154" s="8" t="s">
        <v>503</v>
      </c>
      <c r="C154" s="8" t="s">
        <v>31</v>
      </c>
      <c r="D154" s="9" t="n">
        <v>48026</v>
      </c>
      <c r="E154" s="9" t="n">
        <v>43624</v>
      </c>
      <c r="F154" s="9" t="n">
        <v>45286</v>
      </c>
      <c r="G154" s="9" t="n">
        <v>48591</v>
      </c>
      <c r="H154" s="9" t="n">
        <v>47122</v>
      </c>
      <c r="I154" s="9" t="n">
        <v>1459</v>
      </c>
      <c r="J154" s="9" t="n">
        <v>2926</v>
      </c>
      <c r="K154" s="9" t="n">
        <v>-3647</v>
      </c>
      <c r="L154" s="9" t="n">
        <v>1076</v>
      </c>
      <c r="M154" s="9" t="n">
        <v>2127</v>
      </c>
      <c r="N154" s="10" t="n">
        <v>0.019184245150885</v>
      </c>
      <c r="O154" s="10" t="n">
        <v>-0.314057357780912</v>
      </c>
      <c r="P154" s="10" t="n">
        <v>0.100907757197873</v>
      </c>
      <c r="Q154" s="10" t="n">
        <v>-0.0367000839111425</v>
      </c>
      <c r="R154" s="10" t="n">
        <v>-0.0680167109135437</v>
      </c>
      <c r="S154" s="10" t="n">
        <v>0.031174398370188</v>
      </c>
      <c r="T154" s="11" t="s">
        <v>35</v>
      </c>
      <c r="U154" s="11" t="s">
        <v>504</v>
      </c>
      <c r="V154" s="8" t="s">
        <v>43</v>
      </c>
      <c r="W154" s="12" t="n">
        <v>59.92</v>
      </c>
      <c r="X154" s="12" t="n">
        <v>83.77</v>
      </c>
      <c r="Y154" s="10" t="n">
        <f aca="false">IF(AND(ISNUMBER(W154),ISNUMBER(X154)),X154/W154-1,"")</f>
        <v>0.398030707610147</v>
      </c>
      <c r="Z154" s="10" t="n">
        <v>0.410092138408598</v>
      </c>
      <c r="AA154" s="10" t="n">
        <v>-0.0176572369655402</v>
      </c>
      <c r="AB154" s="8"/>
      <c r="AC154" s="10" t="n">
        <f aca="false">IF(AND(ISNUMBER(N154),ISNUMBER(AA154)),N154-AA154,"")</f>
        <v>0.0368414821164252</v>
      </c>
    </row>
    <row r="155" customFormat="false" ht="15" hidden="false" customHeight="false" outlineLevel="0" collapsed="false">
      <c r="A155" s="8" t="s">
        <v>505</v>
      </c>
      <c r="B155" s="8" t="s">
        <v>506</v>
      </c>
      <c r="C155" s="8" t="s">
        <v>31</v>
      </c>
      <c r="D155" s="9" t="n">
        <v>10876</v>
      </c>
      <c r="E155" s="9" t="n">
        <v>9881</v>
      </c>
      <c r="F155" s="9" t="n">
        <v>11712</v>
      </c>
      <c r="G155" s="9" t="n">
        <v>10423</v>
      </c>
      <c r="H155" s="9" t="n">
        <v>10351</v>
      </c>
      <c r="I155" s="9" t="n">
        <v>1096</v>
      </c>
      <c r="J155" s="9" t="n">
        <v>989</v>
      </c>
      <c r="K155" s="9" t="n">
        <v>1271</v>
      </c>
      <c r="L155" s="9" t="n">
        <v>1242</v>
      </c>
      <c r="M155" s="9" t="n">
        <v>1194</v>
      </c>
      <c r="N155" s="10" t="n">
        <v>0.0507197372234567</v>
      </c>
      <c r="O155" s="10" t="n">
        <v>-0.0820770519262981</v>
      </c>
      <c r="P155" s="10" t="n">
        <v>0.100698309887663</v>
      </c>
      <c r="Q155" s="10" t="n">
        <v>-0.156335382513661</v>
      </c>
      <c r="R155" s="10" t="n">
        <v>0.123668809363907</v>
      </c>
      <c r="S155" s="10" t="n">
        <v>0.00695584967635976</v>
      </c>
      <c r="T155" s="11" t="s">
        <v>35</v>
      </c>
      <c r="U155" s="11" t="s">
        <v>507</v>
      </c>
      <c r="V155" s="8" t="s">
        <v>47</v>
      </c>
      <c r="W155" s="12" t="n">
        <v>586.27</v>
      </c>
      <c r="X155" s="12" t="n">
        <v>514.42</v>
      </c>
      <c r="Y155" s="10" t="n">
        <f aca="false">IF(AND(ISNUMBER(W155),ISNUMBER(X155)),X155/W155-1,"")</f>
        <v>-0.122554454432258</v>
      </c>
      <c r="Z155" s="10" t="n">
        <v>-0.10824938334278</v>
      </c>
      <c r="AA155" s="10" t="n">
        <v>0.0130162458406733</v>
      </c>
      <c r="AB155" s="8"/>
      <c r="AC155" s="10" t="n">
        <f aca="false">IF(AND(ISNUMBER(N155),ISNUMBER(AA155)),N155-AA155,"")</f>
        <v>0.0377034913827834</v>
      </c>
    </row>
    <row r="156" customFormat="false" ht="15" hidden="false" customHeight="false" outlineLevel="0" collapsed="false">
      <c r="A156" s="8" t="s">
        <v>508</v>
      </c>
      <c r="B156" s="8" t="s">
        <v>509</v>
      </c>
      <c r="C156" s="8" t="s">
        <v>38</v>
      </c>
      <c r="D156" s="9" t="n">
        <v>17252</v>
      </c>
      <c r="E156" s="9" t="n">
        <v>15841</v>
      </c>
      <c r="F156" s="9" t="n">
        <v>15349</v>
      </c>
      <c r="G156" s="9" t="n">
        <v>14883</v>
      </c>
      <c r="H156" s="9" t="n">
        <v>14673</v>
      </c>
      <c r="I156" s="9" t="n">
        <v>4775</v>
      </c>
      <c r="J156" s="9" t="n">
        <v>3959</v>
      </c>
      <c r="K156" s="9" t="n">
        <v>3817</v>
      </c>
      <c r="L156" s="9" t="n">
        <v>3510</v>
      </c>
      <c r="M156" s="9" t="n">
        <v>3122</v>
      </c>
      <c r="N156" s="10" t="n">
        <v>0.17576501056362</v>
      </c>
      <c r="O156" s="10" t="n">
        <v>0.529468289557976</v>
      </c>
      <c r="P156" s="10" t="n">
        <v>0.089072659554321</v>
      </c>
      <c r="Q156" s="10" t="n">
        <v>0.0320542054856994</v>
      </c>
      <c r="R156" s="10" t="n">
        <v>0.031310891621313</v>
      </c>
      <c r="S156" s="10" t="n">
        <v>0.0143120016356573</v>
      </c>
      <c r="T156" s="8" t="s">
        <v>97</v>
      </c>
      <c r="U156" s="11" t="s">
        <v>510</v>
      </c>
      <c r="V156" s="8" t="s">
        <v>34</v>
      </c>
      <c r="W156" s="12" t="n">
        <v>67.32</v>
      </c>
      <c r="X156" s="12" t="n">
        <v>106.43</v>
      </c>
      <c r="Y156" s="10" t="n">
        <f aca="false">IF(AND(ISNUMBER(W156),ISNUMBER(X156)),X156/W156-1,"")</f>
        <v>0.580956625074272</v>
      </c>
      <c r="Z156" s="10" t="n">
        <v>0.613692564228177</v>
      </c>
      <c r="AA156" s="10" t="n">
        <v>0.0755754288227533</v>
      </c>
      <c r="AB156" s="8"/>
      <c r="AC156" s="10" t="n">
        <f aca="false">IF(AND(ISNUMBER(N156),ISNUMBER(AA156)),N156-AA156,"")</f>
        <v>0.100189581740867</v>
      </c>
    </row>
    <row r="157" customFormat="false" ht="15" hidden="false" customHeight="false" outlineLevel="0" collapsed="false">
      <c r="A157" s="8" t="s">
        <v>511</v>
      </c>
      <c r="B157" s="8" t="s">
        <v>512</v>
      </c>
      <c r="C157" s="8" t="s">
        <v>31</v>
      </c>
      <c r="D157" s="9" t="n">
        <v>4440.1</v>
      </c>
      <c r="E157" s="9" t="n">
        <v>4094.7</v>
      </c>
      <c r="F157" s="9" t="n">
        <v>4055.5</v>
      </c>
      <c r="G157" s="9" t="n">
        <v>4151.2</v>
      </c>
      <c r="H157" s="9" t="n">
        <v>4260.1</v>
      </c>
      <c r="I157" s="9" t="n">
        <v>1234.5</v>
      </c>
      <c r="J157" s="9" t="n">
        <v>846.9</v>
      </c>
      <c r="K157" s="9" t="n">
        <v>917.4</v>
      </c>
      <c r="L157" s="9" t="n">
        <v>836.9</v>
      </c>
      <c r="M157" s="9" t="n">
        <v>1033.6</v>
      </c>
      <c r="N157" s="10" t="n">
        <v>0.0422525292833502</v>
      </c>
      <c r="O157" s="10" t="n">
        <v>0.19436919504644</v>
      </c>
      <c r="P157" s="10" t="n">
        <v>0.0843529440496251</v>
      </c>
      <c r="Q157" s="10" t="n">
        <v>0.00966588583405259</v>
      </c>
      <c r="R157" s="10" t="n">
        <v>-0.0230535748699171</v>
      </c>
      <c r="S157" s="10" t="n">
        <v>-0.0255627802164269</v>
      </c>
      <c r="T157" s="8" t="s">
        <v>97</v>
      </c>
      <c r="U157" s="11" t="s">
        <v>190</v>
      </c>
      <c r="V157" s="8" t="s">
        <v>80</v>
      </c>
      <c r="W157" s="12" t="n">
        <v>172.19</v>
      </c>
      <c r="X157" s="12" t="n">
        <v>283.01</v>
      </c>
      <c r="Y157" s="10" t="n">
        <f aca="false">IF(AND(ISNUMBER(W157),ISNUMBER(X157)),X157/W157-1,"")</f>
        <v>0.643591381613334</v>
      </c>
      <c r="Z157" s="10" t="n">
        <v>0.678933598669986</v>
      </c>
      <c r="AA157" s="10" t="n">
        <v>0.195985401459854</v>
      </c>
      <c r="AB157" s="8"/>
      <c r="AC157" s="10" t="n">
        <f aca="false">IF(AND(ISNUMBER(N157),ISNUMBER(AA157)),N157-AA157,"")</f>
        <v>-0.153732872176504</v>
      </c>
    </row>
    <row r="158" customFormat="false" ht="15" hidden="false" customHeight="false" outlineLevel="0" collapsed="false">
      <c r="A158" s="8" t="s">
        <v>513</v>
      </c>
      <c r="B158" s="8" t="s">
        <v>514</v>
      </c>
      <c r="C158" s="8" t="s">
        <v>31</v>
      </c>
      <c r="D158" s="9" t="n">
        <v>3348.562</v>
      </c>
      <c r="E158" s="9" t="n">
        <v>3088.242</v>
      </c>
      <c r="F158" s="9" t="n">
        <v>2983.511</v>
      </c>
      <c r="G158" s="9" t="n">
        <v>3003.444</v>
      </c>
      <c r="H158" s="9" t="n">
        <v>3063.393</v>
      </c>
      <c r="I158" s="9" t="n">
        <v>555.767</v>
      </c>
      <c r="J158" s="9" t="n">
        <v>418.523</v>
      </c>
      <c r="K158" s="9" t="n">
        <v>445.729</v>
      </c>
      <c r="L158" s="9" t="n">
        <v>498.317</v>
      </c>
      <c r="M158" s="9" t="n">
        <v>575.134</v>
      </c>
      <c r="N158" s="10" t="n">
        <v>0.0930892640937679</v>
      </c>
      <c r="O158" s="10" t="n">
        <v>-0.0336738916495982</v>
      </c>
      <c r="P158" s="10" t="n">
        <v>0.0842939121998858</v>
      </c>
      <c r="Q158" s="10" t="n">
        <v>0.0351032726207479</v>
      </c>
      <c r="R158" s="10" t="n">
        <v>-0.00663671438521907</v>
      </c>
      <c r="S158" s="10" t="n">
        <v>-0.019569477373618</v>
      </c>
      <c r="T158" s="8" t="s">
        <v>97</v>
      </c>
      <c r="U158" s="11" t="s">
        <v>515</v>
      </c>
      <c r="V158" s="8" t="s">
        <v>43</v>
      </c>
      <c r="W158" s="12" t="n">
        <v>39.55</v>
      </c>
      <c r="X158" s="12" t="n">
        <v>32.71</v>
      </c>
      <c r="Y158" s="10" t="n">
        <f aca="false">IF(AND(ISNUMBER(W158),ISNUMBER(X158)),X158/W158-1,"")</f>
        <v>-0.172945638432364</v>
      </c>
      <c r="Z158" s="10" t="n">
        <v>-0.172945645626674</v>
      </c>
      <c r="AA158" s="10" t="n">
        <v>0.030364092634094</v>
      </c>
      <c r="AB158" s="8"/>
      <c r="AC158" s="10" t="n">
        <f aca="false">IF(AND(ISNUMBER(N158),ISNUMBER(AA158)),N158-AA158,"")</f>
        <v>0.0627251714596739</v>
      </c>
    </row>
    <row r="159" customFormat="false" ht="15" hidden="false" customHeight="false" outlineLevel="0" collapsed="false">
      <c r="A159" s="8" t="s">
        <v>516</v>
      </c>
      <c r="B159" s="8" t="s">
        <v>517</v>
      </c>
      <c r="C159" s="8" t="s">
        <v>31</v>
      </c>
      <c r="D159" s="9" t="n">
        <v>3657.556</v>
      </c>
      <c r="E159" s="9" t="n">
        <v>3415.078</v>
      </c>
      <c r="F159" s="9" t="n">
        <v>3297.146</v>
      </c>
      <c r="G159" s="9" t="n">
        <v>3209.696</v>
      </c>
      <c r="H159" s="9" t="n">
        <v>3174.741</v>
      </c>
      <c r="I159" s="9" t="n">
        <v>1553.948</v>
      </c>
      <c r="J159" s="9" t="n">
        <v>1407.509</v>
      </c>
      <c r="K159" s="9" t="n">
        <v>1362.146</v>
      </c>
      <c r="L159" s="9" t="n">
        <v>1337.177</v>
      </c>
      <c r="M159" s="9" t="n">
        <v>1351.76</v>
      </c>
      <c r="N159" s="10" t="n">
        <v>0.152080122441484</v>
      </c>
      <c r="O159" s="10" t="n">
        <v>0.14957388885601</v>
      </c>
      <c r="P159" s="10" t="n">
        <v>0.0710021850159792</v>
      </c>
      <c r="Q159" s="10" t="n">
        <v>0.0357679035141301</v>
      </c>
      <c r="R159" s="10" t="n">
        <v>0.027245570920112</v>
      </c>
      <c r="S159" s="10" t="n">
        <v>0.0110103469857856</v>
      </c>
      <c r="T159" s="8" t="s">
        <v>97</v>
      </c>
      <c r="U159" s="11" t="s">
        <v>518</v>
      </c>
      <c r="V159" s="8" t="s">
        <v>34</v>
      </c>
      <c r="W159" s="12" t="n">
        <v>106.867</v>
      </c>
      <c r="X159" s="12" t="n">
        <v>187.86</v>
      </c>
      <c r="Y159" s="10" t="n">
        <f aca="false">IF(AND(ISNUMBER(W159),ISNUMBER(X159)),X159/W159-1,"")</f>
        <v>0.75788597041182</v>
      </c>
      <c r="Z159" s="10" t="n">
        <v>0.767369099001709</v>
      </c>
      <c r="AA159" s="10" t="n">
        <v>0.23591612213794</v>
      </c>
      <c r="AB159" s="8"/>
      <c r="AC159" s="10" t="n">
        <f aca="false">IF(AND(ISNUMBER(N159),ISNUMBER(AA159)),N159-AA159,"")</f>
        <v>-0.0838359996964553</v>
      </c>
    </row>
    <row r="160" customFormat="false" ht="15" hidden="false" customHeight="false" outlineLevel="0" collapsed="false">
      <c r="A160" s="8" t="s">
        <v>519</v>
      </c>
      <c r="B160" s="8" t="s">
        <v>520</v>
      </c>
      <c r="C160" s="8" t="s">
        <v>31</v>
      </c>
      <c r="D160" s="9" t="n">
        <v>4048</v>
      </c>
      <c r="E160" s="9" t="n">
        <v>3796</v>
      </c>
      <c r="F160" s="9" t="n">
        <v>3667</v>
      </c>
      <c r="G160" s="9" t="n">
        <v>3545</v>
      </c>
      <c r="H160" s="9" t="n">
        <v>3469</v>
      </c>
      <c r="I160" s="8"/>
      <c r="J160" s="8"/>
      <c r="K160" s="8"/>
      <c r="L160" s="8"/>
      <c r="M160" s="8"/>
      <c r="N160" s="10" t="n">
        <v>0.166906889593543</v>
      </c>
      <c r="O160" s="8"/>
      <c r="P160" s="10" t="n">
        <v>0.0663856691253952</v>
      </c>
      <c r="Q160" s="10" t="n">
        <v>0.0351786201254432</v>
      </c>
      <c r="R160" s="10" t="n">
        <v>0.0344146685472497</v>
      </c>
      <c r="S160" s="10" t="n">
        <v>0.0219083309311041</v>
      </c>
      <c r="T160" s="8" t="s">
        <v>97</v>
      </c>
      <c r="U160" s="11" t="s">
        <v>521</v>
      </c>
      <c r="V160" s="8" t="s">
        <v>51</v>
      </c>
      <c r="W160" s="12" t="n">
        <v>112.96</v>
      </c>
      <c r="X160" s="12" t="n">
        <v>179.95</v>
      </c>
      <c r="Y160" s="10" t="n">
        <f aca="false">IF(AND(ISNUMBER(W160),ISNUMBER(X160)),X160/W160-1,"")</f>
        <v>0.59304178470255</v>
      </c>
      <c r="Z160" s="10" t="n">
        <v>0.634062374300395</v>
      </c>
      <c r="AA160" s="10" t="n">
        <v>0.0805390159824506</v>
      </c>
      <c r="AB160" s="8"/>
      <c r="AC160" s="10" t="n">
        <f aca="false">IF(AND(ISNUMBER(N160),ISNUMBER(AA160)),N160-AA160,"")</f>
        <v>0.0863678736110922</v>
      </c>
    </row>
    <row r="161" customFormat="false" ht="15" hidden="false" customHeight="false" outlineLevel="0" collapsed="false">
      <c r="A161" s="8" t="s">
        <v>522</v>
      </c>
      <c r="B161" s="8" t="s">
        <v>523</v>
      </c>
      <c r="C161" s="8" t="s">
        <v>31</v>
      </c>
      <c r="D161" s="9" t="n">
        <v>1004.3</v>
      </c>
      <c r="E161" s="9" t="n">
        <v>945.6</v>
      </c>
      <c r="F161" s="9" t="n">
        <v>912.5</v>
      </c>
      <c r="G161" s="9" t="n">
        <v>942.5</v>
      </c>
      <c r="H161" s="9" t="n">
        <v>1011.3</v>
      </c>
      <c r="I161" s="9" t="n">
        <v>190.1</v>
      </c>
      <c r="J161" s="9" t="n">
        <v>161.8</v>
      </c>
      <c r="K161" s="9" t="n">
        <v>163.8</v>
      </c>
      <c r="L161" s="9" t="n">
        <v>175.6</v>
      </c>
      <c r="M161" s="9" t="n">
        <v>205.8</v>
      </c>
      <c r="N161" s="10" t="n">
        <v>-0.00692178384257891</v>
      </c>
      <c r="O161" s="10" t="n">
        <v>-0.076287657920311</v>
      </c>
      <c r="P161" s="10" t="n">
        <v>0.0620769881556684</v>
      </c>
      <c r="Q161" s="10" t="n">
        <v>0.0362739726027397</v>
      </c>
      <c r="R161" s="10" t="n">
        <v>-0.0318302387267905</v>
      </c>
      <c r="S161" s="10" t="n">
        <v>-0.0680312469099179</v>
      </c>
      <c r="T161" s="8" t="s">
        <v>97</v>
      </c>
      <c r="U161" s="11" t="s">
        <v>524</v>
      </c>
      <c r="V161" s="8" t="s">
        <v>47</v>
      </c>
      <c r="W161" s="12" t="n">
        <v>71.96</v>
      </c>
      <c r="X161" s="12" t="n">
        <v>57.74</v>
      </c>
      <c r="Y161" s="10" t="n">
        <f aca="false">IF(AND(ISNUMBER(W161),ISNUMBER(X161)),X161/W161-1,"")</f>
        <v>-0.197609783212896</v>
      </c>
      <c r="Z161" s="10" t="n">
        <v>-0.179720020198918</v>
      </c>
      <c r="AA161" s="10" t="n">
        <v>0.03320392317123</v>
      </c>
      <c r="AB161" s="8"/>
      <c r="AC161" s="10" t="n">
        <f aca="false">IF(AND(ISNUMBER(N161),ISNUMBER(AA161)),N161-AA161,"")</f>
        <v>-0.0401257070138089</v>
      </c>
    </row>
    <row r="162" customFormat="false" ht="15" hidden="false" customHeight="false" outlineLevel="0" collapsed="false">
      <c r="A162" s="8" t="s">
        <v>525</v>
      </c>
      <c r="B162" s="8" t="s">
        <v>526</v>
      </c>
      <c r="C162" s="8" t="s">
        <v>38</v>
      </c>
      <c r="D162" s="9" t="n">
        <v>1470.897</v>
      </c>
      <c r="E162" s="9" t="n">
        <v>1385.629</v>
      </c>
      <c r="F162" s="9" t="n">
        <v>1305.375</v>
      </c>
      <c r="G162" s="9" t="n">
        <v>1234.244</v>
      </c>
      <c r="H162" s="9" t="n">
        <v>1168.952</v>
      </c>
      <c r="I162" s="9" t="n">
        <v>-33.232</v>
      </c>
      <c r="J162" s="9" t="n">
        <v>-30.6</v>
      </c>
      <c r="K162" s="9" t="n">
        <v>13.786</v>
      </c>
      <c r="L162" s="9" t="n">
        <v>-69.443</v>
      </c>
      <c r="M162" s="9" t="n">
        <v>-105.457</v>
      </c>
      <c r="N162" s="10" t="n">
        <v>0.258304019326713</v>
      </c>
      <c r="O162" s="14" t="s">
        <v>527</v>
      </c>
      <c r="P162" s="10" t="n">
        <v>0.0615373956520828</v>
      </c>
      <c r="Q162" s="10" t="n">
        <v>0.0614796514411569</v>
      </c>
      <c r="R162" s="10" t="n">
        <v>0.0576312301295368</v>
      </c>
      <c r="S162" s="10" t="n">
        <v>0.055855159151103</v>
      </c>
      <c r="T162" s="8" t="s">
        <v>97</v>
      </c>
      <c r="U162" s="11" t="s">
        <v>528</v>
      </c>
      <c r="V162" s="8" t="s">
        <v>34</v>
      </c>
      <c r="W162" s="12" t="n">
        <v>119.0825</v>
      </c>
      <c r="X162" s="12" t="n">
        <v>262.49</v>
      </c>
      <c r="Y162" s="10" t="n">
        <f aca="false">IF(AND(ISNUMBER(W162),ISNUMBER(X162)),X162/W162-1,"")</f>
        <v>1.20427014884639</v>
      </c>
      <c r="Z162" s="10" t="n">
        <v>1.2042701289775</v>
      </c>
      <c r="AA162" s="10" t="n">
        <v>0.212766840410345</v>
      </c>
      <c r="AB162" s="8"/>
      <c r="AC162" s="10" t="n">
        <f aca="false">IF(AND(ISNUMBER(N162),ISNUMBER(AA162)),N162-AA162,"")</f>
        <v>0.0455371789163683</v>
      </c>
    </row>
    <row r="163" customFormat="false" ht="15" hidden="false" customHeight="false" outlineLevel="0" collapsed="false">
      <c r="A163" s="8" t="s">
        <v>529</v>
      </c>
      <c r="B163" s="8" t="s">
        <v>530</v>
      </c>
      <c r="C163" s="8" t="s">
        <v>132</v>
      </c>
      <c r="D163" s="9" t="n">
        <v>7477</v>
      </c>
      <c r="E163" s="9" t="n">
        <v>7058</v>
      </c>
      <c r="F163" s="9" t="n">
        <v>6804</v>
      </c>
      <c r="G163" s="9" t="n">
        <v>6575</v>
      </c>
      <c r="H163" s="9" t="n">
        <v>6398</v>
      </c>
      <c r="I163" s="9" t="n">
        <v>397</v>
      </c>
      <c r="J163" s="9" t="n">
        <v>394</v>
      </c>
      <c r="K163" s="9" t="n">
        <v>338</v>
      </c>
      <c r="L163" s="9" t="n">
        <v>318</v>
      </c>
      <c r="M163" s="9" t="n">
        <v>308</v>
      </c>
      <c r="N163" s="10" t="n">
        <v>0.168646452016255</v>
      </c>
      <c r="O163" s="10" t="n">
        <v>0.288961038961039</v>
      </c>
      <c r="P163" s="10" t="n">
        <v>0.0593652592802494</v>
      </c>
      <c r="Q163" s="10" t="n">
        <v>0.0373309817754262</v>
      </c>
      <c r="R163" s="10" t="n">
        <v>0.034828897338403</v>
      </c>
      <c r="S163" s="10" t="n">
        <v>0.0276648952797749</v>
      </c>
      <c r="T163" s="8" t="s">
        <v>97</v>
      </c>
      <c r="U163" s="11" t="s">
        <v>531</v>
      </c>
      <c r="V163" s="8" t="s">
        <v>34</v>
      </c>
      <c r="W163" s="12" t="n">
        <v>57.58</v>
      </c>
      <c r="X163" s="12" t="n">
        <v>112.3</v>
      </c>
      <c r="Y163" s="10" t="n">
        <f aca="false">IF(AND(ISNUMBER(W163),ISNUMBER(X163)),X163/W163-1,"")</f>
        <v>0.950329975686002</v>
      </c>
      <c r="Z163" s="10" t="n">
        <v>0.950329966665457</v>
      </c>
      <c r="AA163" s="10" t="n">
        <v>0.0413367120684194</v>
      </c>
      <c r="AB163" s="8"/>
      <c r="AC163" s="10" t="n">
        <f aca="false">IF(AND(ISNUMBER(N163),ISNUMBER(AA163)),N163-AA163,"")</f>
        <v>0.127309739947836</v>
      </c>
    </row>
    <row r="164" customFormat="false" ht="15" hidden="false" customHeight="false" outlineLevel="0" collapsed="false">
      <c r="A164" s="8" t="s">
        <v>532</v>
      </c>
      <c r="B164" s="8" t="s">
        <v>533</v>
      </c>
      <c r="C164" s="8" t="s">
        <v>31</v>
      </c>
      <c r="D164" s="9" t="n">
        <v>2425.452</v>
      </c>
      <c r="E164" s="9" t="n">
        <v>2297.723</v>
      </c>
      <c r="F164" s="9" t="n">
        <v>2252.712</v>
      </c>
      <c r="G164" s="9" t="n">
        <v>2213.881</v>
      </c>
      <c r="H164" s="9" t="n">
        <v>2183.869</v>
      </c>
      <c r="I164" s="9" t="n">
        <v>959.691</v>
      </c>
      <c r="J164" s="9" t="n">
        <v>827.032</v>
      </c>
      <c r="K164" s="9" t="n">
        <v>852.357</v>
      </c>
      <c r="L164" s="9" t="n">
        <v>892.591</v>
      </c>
      <c r="M164" s="9" t="n">
        <v>855.191</v>
      </c>
      <c r="N164" s="10" t="n">
        <v>0.110621562007611</v>
      </c>
      <c r="O164" s="10" t="n">
        <v>0.122194924876431</v>
      </c>
      <c r="P164" s="10" t="n">
        <v>0.0555893813135875</v>
      </c>
      <c r="Q164" s="10" t="n">
        <v>0.0199808053581638</v>
      </c>
      <c r="R164" s="10" t="n">
        <v>0.0175397864654876</v>
      </c>
      <c r="S164" s="10" t="n">
        <v>0.0137425825450153</v>
      </c>
      <c r="T164" s="8" t="s">
        <v>97</v>
      </c>
      <c r="U164" s="11" t="s">
        <v>534</v>
      </c>
      <c r="V164" s="8" t="s">
        <v>535</v>
      </c>
      <c r="W164" s="12" t="n">
        <v>112.86</v>
      </c>
      <c r="X164" s="12" t="n">
        <v>133.96</v>
      </c>
      <c r="Y164" s="10" t="n">
        <f aca="false">IF(AND(ISNUMBER(W164),ISNUMBER(X164)),X164/W164-1,"")</f>
        <v>0.18695729222045</v>
      </c>
      <c r="Z164" s="10" t="n">
        <v>0.224222137005404</v>
      </c>
      <c r="AA164" s="10" t="n">
        <v>0.0876090786940338</v>
      </c>
      <c r="AB164" s="8"/>
      <c r="AC164" s="10" t="n">
        <f aca="false">IF(AND(ISNUMBER(N164),ISNUMBER(AA164)),N164-AA164,"")</f>
        <v>0.0230124833135774</v>
      </c>
    </row>
    <row r="165" customFormat="false" ht="15" hidden="false" customHeight="false" outlineLevel="0" collapsed="false">
      <c r="A165" s="8" t="s">
        <v>536</v>
      </c>
      <c r="B165" s="8" t="s">
        <v>537</v>
      </c>
      <c r="C165" s="8" t="s">
        <v>31</v>
      </c>
      <c r="D165" s="9" t="n">
        <v>1336</v>
      </c>
      <c r="E165" s="9" t="n">
        <v>1283</v>
      </c>
      <c r="F165" s="9" t="n">
        <v>1240</v>
      </c>
      <c r="G165" s="9" t="n">
        <v>1220</v>
      </c>
      <c r="H165" s="9" t="n">
        <v>1257</v>
      </c>
      <c r="I165" s="9" t="n">
        <v>475</v>
      </c>
      <c r="J165" s="9" t="n">
        <v>813</v>
      </c>
      <c r="K165" s="9" t="n">
        <v>444</v>
      </c>
      <c r="L165" s="9" t="n">
        <v>442</v>
      </c>
      <c r="M165" s="9" t="n">
        <v>456</v>
      </c>
      <c r="N165" s="10" t="n">
        <v>0.0628480509148768</v>
      </c>
      <c r="O165" s="10" t="n">
        <v>0.0416666666666667</v>
      </c>
      <c r="P165" s="10" t="n">
        <v>0.0413094310210445</v>
      </c>
      <c r="Q165" s="10" t="n">
        <v>0.0346774193548387</v>
      </c>
      <c r="R165" s="10" t="n">
        <v>0.0163934426229508</v>
      </c>
      <c r="S165" s="10" t="n">
        <v>-0.0294351630867143</v>
      </c>
      <c r="T165" s="8" t="s">
        <v>97</v>
      </c>
      <c r="U165" s="11" t="s">
        <v>538</v>
      </c>
      <c r="V165" s="8" t="s">
        <v>34</v>
      </c>
      <c r="W165" s="12" t="n">
        <v>29.09</v>
      </c>
      <c r="X165" s="12" t="n">
        <v>26.23</v>
      </c>
      <c r="Y165" s="10" t="n">
        <f aca="false">IF(AND(ISNUMBER(W165),ISNUMBER(X165)),X165/W165-1,"")</f>
        <v>-0.0983155723616362</v>
      </c>
      <c r="Z165" s="10" t="n">
        <v>-0.0803229151306196</v>
      </c>
      <c r="AA165" s="10" t="n">
        <v>0.30259067357513</v>
      </c>
      <c r="AB165" s="8" t="s">
        <v>32</v>
      </c>
      <c r="AC165" s="10" t="n">
        <f aca="false">IF(AND(ISNUMBER(N165),ISNUMBER(AA165)),N165-AA165,"")</f>
        <v>-0.239742622660253</v>
      </c>
    </row>
    <row r="166" customFormat="false" ht="15" hidden="false" customHeight="false" outlineLevel="0" collapsed="false">
      <c r="A166" s="8" t="s">
        <v>539</v>
      </c>
      <c r="B166" s="8" t="s">
        <v>540</v>
      </c>
      <c r="C166" s="8" t="s">
        <v>31</v>
      </c>
      <c r="D166" s="9" t="n">
        <v>1004.078</v>
      </c>
      <c r="E166" s="9" t="n">
        <v>995.83</v>
      </c>
      <c r="F166" s="9" t="n">
        <v>994.227</v>
      </c>
      <c r="G166" s="9" t="n">
        <v>1004.852</v>
      </c>
      <c r="H166" s="9" t="n">
        <v>1032.135</v>
      </c>
      <c r="I166" s="9" t="n">
        <v>119.888</v>
      </c>
      <c r="J166" s="9" t="n">
        <v>119.897</v>
      </c>
      <c r="K166" s="9" t="n">
        <v>92.534</v>
      </c>
      <c r="L166" s="9" t="n">
        <v>133.799</v>
      </c>
      <c r="M166" s="9" t="n">
        <v>100.134</v>
      </c>
      <c r="N166" s="10" t="n">
        <v>-0.0271834595280656</v>
      </c>
      <c r="O166" s="10" t="n">
        <v>0.197275650628158</v>
      </c>
      <c r="P166" s="10" t="n">
        <v>0.00828253818422819</v>
      </c>
      <c r="Q166" s="10" t="n">
        <v>0.00161230785323663</v>
      </c>
      <c r="R166" s="10" t="n">
        <v>-0.0105736964249462</v>
      </c>
      <c r="S166" s="10" t="n">
        <v>-0.0264335576256982</v>
      </c>
      <c r="T166" s="8" t="s">
        <v>97</v>
      </c>
      <c r="U166" s="11" t="s">
        <v>541</v>
      </c>
      <c r="V166" s="8" t="s">
        <v>147</v>
      </c>
      <c r="W166" s="12" t="n">
        <v>149.45</v>
      </c>
      <c r="X166" s="12" t="n">
        <v>277.33</v>
      </c>
      <c r="Y166" s="10" t="n">
        <f aca="false">IF(AND(ISNUMBER(W166),ISNUMBER(X166)),X166/W166-1,"")</f>
        <v>0.855670792907327</v>
      </c>
      <c r="Z166" s="10" t="n">
        <v>0.855670740952314</v>
      </c>
      <c r="AA166" s="10" t="n">
        <v>0.00586482827981594</v>
      </c>
      <c r="AB166" s="8"/>
      <c r="AC166" s="10" t="n">
        <f aca="false">IF(AND(ISNUMBER(N166),ISNUMBER(AA166)),N166-AA166,"")</f>
        <v>-0.0330482878078815</v>
      </c>
    </row>
    <row r="167" customFormat="false" ht="15" hidden="false" customHeight="false" outlineLevel="0" collapsed="false">
      <c r="A167" s="0" t="s">
        <v>542</v>
      </c>
      <c r="B167" s="0" t="s">
        <v>543</v>
      </c>
      <c r="C167" s="0" t="s">
        <v>31</v>
      </c>
      <c r="D167" s="15" t="n">
        <v>1328.99</v>
      </c>
      <c r="E167" s="15" t="n">
        <v>1282.494</v>
      </c>
      <c r="F167" s="15" t="n">
        <v>1083.337</v>
      </c>
      <c r="G167" s="15" t="n">
        <v>769.21</v>
      </c>
      <c r="H167" s="15" t="n">
        <v>651.797</v>
      </c>
      <c r="I167" s="15" t="n">
        <v>440.842</v>
      </c>
      <c r="J167" s="15" t="n">
        <v>476.427</v>
      </c>
      <c r="K167" s="15" t="n">
        <v>308.283</v>
      </c>
      <c r="L167" s="15" t="n">
        <v>151.888</v>
      </c>
      <c r="M167" s="15" t="n">
        <v>93.115</v>
      </c>
      <c r="N167" s="16" t="n">
        <v>1.03896305137949</v>
      </c>
      <c r="O167" s="16" t="n">
        <v>3.73438221553992</v>
      </c>
      <c r="P167" s="16" t="n">
        <v>0.0362543606441823</v>
      </c>
      <c r="Q167" s="16" t="n">
        <v>0.183836608553017</v>
      </c>
      <c r="R167" s="16" t="n">
        <v>0.408376126155406</v>
      </c>
      <c r="S167" s="16" t="n">
        <v>0.180137374059715</v>
      </c>
      <c r="V167" s="17" t="s">
        <v>34</v>
      </c>
      <c r="W167" s="18" t="n">
        <v>133.21</v>
      </c>
      <c r="X167" s="18" t="n">
        <v>389.14</v>
      </c>
      <c r="Y167" s="16" t="n">
        <f aca="false">IF(AND(ISNUMBER(W167),ISNUMBER(X167)),X167/W167-1,"")</f>
        <v>1.92125215824638</v>
      </c>
      <c r="Z167" s="16" t="n">
        <v>1.92691044618184</v>
      </c>
      <c r="AA167" s="16" t="n">
        <v>-0.106979376033562</v>
      </c>
      <c r="AC167" s="16" t="n">
        <f aca="false">IF(AND(ISNUMBER(N167),ISNUMBER(AA167)),N167-AA167,"")</f>
        <v>1.14594242741306</v>
      </c>
    </row>
    <row r="168" customFormat="false" ht="15" hidden="false" customHeight="false" outlineLevel="0" collapsed="false">
      <c r="A168" s="0" t="s">
        <v>544</v>
      </c>
      <c r="B168" s="0" t="s">
        <v>545</v>
      </c>
      <c r="C168" s="0" t="s">
        <v>31</v>
      </c>
      <c r="D168" s="15" t="n">
        <v>11119.777</v>
      </c>
      <c r="E168" s="15" t="n">
        <v>10243.014</v>
      </c>
      <c r="F168" s="15" t="n">
        <v>12682.491</v>
      </c>
      <c r="G168" s="15" t="n">
        <v>5017.79</v>
      </c>
      <c r="H168" s="15" t="n">
        <v>5756.911</v>
      </c>
      <c r="I168" s="15" t="n">
        <v>1488.064</v>
      </c>
      <c r="J168" s="15" t="n">
        <v>625.868</v>
      </c>
      <c r="K168" s="15" t="n">
        <v>474.298</v>
      </c>
      <c r="L168" s="15" t="n">
        <v>182.256</v>
      </c>
      <c r="M168" s="15" t="n">
        <v>228.391</v>
      </c>
      <c r="N168" s="16" t="n">
        <v>0.931552702482286</v>
      </c>
      <c r="O168" s="16" t="n">
        <v>5.51542311211913</v>
      </c>
      <c r="P168" s="16" t="n">
        <v>0.0855961926831301</v>
      </c>
      <c r="Q168" s="16" t="n">
        <v>-0.192349988657591</v>
      </c>
      <c r="R168" s="16" t="n">
        <v>1.52750533601446</v>
      </c>
      <c r="S168" s="16" t="n">
        <v>-0.128388470830972</v>
      </c>
      <c r="V168" s="17" t="s">
        <v>34</v>
      </c>
      <c r="W168" s="18" t="n">
        <v>46.2</v>
      </c>
      <c r="X168" s="18" t="n">
        <v>41.44</v>
      </c>
      <c r="Y168" s="16" t="n">
        <f aca="false">IF(AND(ISNUMBER(W168),ISNUMBER(X168)),X168/W168-1,"")</f>
        <v>-0.103030303030303</v>
      </c>
      <c r="Z168" s="16" t="n">
        <v>-0.103030347567631</v>
      </c>
      <c r="AA168" s="16" t="n">
        <v>0.0751359254650543</v>
      </c>
      <c r="AB168" s="19" t="s">
        <v>35</v>
      </c>
      <c r="AC168" s="16" t="n">
        <f aca="false">IF(AND(ISNUMBER(N168),ISNUMBER(AA168)),N168-AA168,"")</f>
        <v>0.856416777017232</v>
      </c>
    </row>
    <row r="169" customFormat="false" ht="15" hidden="false" customHeight="false" outlineLevel="0" collapsed="false">
      <c r="A169" s="0" t="s">
        <v>546</v>
      </c>
      <c r="B169" s="0" t="s">
        <v>547</v>
      </c>
      <c r="C169" s="0" t="s">
        <v>31</v>
      </c>
      <c r="D169" s="15" t="n">
        <v>24041</v>
      </c>
      <c r="E169" s="15" t="n">
        <v>21861</v>
      </c>
      <c r="F169" s="15" t="n">
        <v>23762</v>
      </c>
      <c r="G169" s="15" t="n">
        <v>22155</v>
      </c>
      <c r="H169" s="15" t="n">
        <v>12769</v>
      </c>
      <c r="I169" s="15" t="n">
        <v>1075</v>
      </c>
      <c r="J169" s="15" t="n">
        <v>235</v>
      </c>
      <c r="K169" s="15" t="n">
        <v>374</v>
      </c>
      <c r="L169" s="15" t="n">
        <v>385</v>
      </c>
      <c r="M169" s="15" t="n">
        <v>320</v>
      </c>
      <c r="N169" s="16" t="n">
        <v>0.882762941498943</v>
      </c>
      <c r="O169" s="16" t="n">
        <v>2.359375</v>
      </c>
      <c r="P169" s="16" t="n">
        <v>0.0997209642742785</v>
      </c>
      <c r="Q169" s="16" t="n">
        <v>-0.0800016833599866</v>
      </c>
      <c r="R169" s="16" t="n">
        <v>0.072534416610246</v>
      </c>
      <c r="S169" s="16" t="n">
        <v>0.735061477014645</v>
      </c>
      <c r="V169" s="17" t="s">
        <v>84</v>
      </c>
      <c r="W169" s="18" t="n">
        <v>78.99</v>
      </c>
      <c r="X169" s="18" t="n">
        <v>111.48</v>
      </c>
      <c r="Y169" s="16" t="n">
        <f aca="false">IF(AND(ISNUMBER(W169),ISNUMBER(X169)),X169/W169-1,"")</f>
        <v>0.411317888340296</v>
      </c>
      <c r="Z169" s="16" t="n">
        <v>0.447519314331929</v>
      </c>
      <c r="AA169" s="16" t="n">
        <v>-0.0356468544671853</v>
      </c>
      <c r="AC169" s="16" t="n">
        <f aca="false">IF(AND(ISNUMBER(N169),ISNUMBER(AA169)),N169-AA169,"")</f>
        <v>0.918409795966128</v>
      </c>
    </row>
    <row r="170" customFormat="false" ht="15" hidden="false" customHeight="false" outlineLevel="0" collapsed="false">
      <c r="A170" s="0" t="s">
        <v>548</v>
      </c>
      <c r="B170" s="0" t="s">
        <v>549</v>
      </c>
      <c r="C170" s="0" t="s">
        <v>31</v>
      </c>
      <c r="D170" s="15" t="n">
        <v>6562.5</v>
      </c>
      <c r="E170" s="15" t="n">
        <v>6242.9</v>
      </c>
      <c r="F170" s="15" t="n">
        <v>5528.8</v>
      </c>
      <c r="G170" s="15" t="n">
        <v>4037.1</v>
      </c>
      <c r="H170" s="15" t="n">
        <v>4015.6</v>
      </c>
      <c r="I170" s="15" t="n">
        <v>922.5</v>
      </c>
      <c r="J170" s="15" t="n">
        <v>705.6</v>
      </c>
      <c r="K170" s="15" t="n">
        <v>-977.2</v>
      </c>
      <c r="L170" s="15" t="n">
        <v>530.1</v>
      </c>
      <c r="M170" s="15" t="n">
        <v>439.2</v>
      </c>
      <c r="N170" s="16" t="n">
        <v>0.63425141946409</v>
      </c>
      <c r="O170" s="16" t="n">
        <v>1.10040983606557</v>
      </c>
      <c r="P170" s="16" t="n">
        <v>0.0511941565618543</v>
      </c>
      <c r="Q170" s="16" t="n">
        <v>0.129160034727246</v>
      </c>
      <c r="R170" s="16" t="n">
        <v>0.369497906913378</v>
      </c>
      <c r="S170" s="16" t="n">
        <v>0.00535411893614901</v>
      </c>
      <c r="V170" s="17" t="s">
        <v>76</v>
      </c>
      <c r="W170" s="18" t="n">
        <v>77.07</v>
      </c>
      <c r="X170" s="18" t="n">
        <v>75.49</v>
      </c>
      <c r="Y170" s="16" t="n">
        <f aca="false">IF(AND(ISNUMBER(W170),ISNUMBER(X170)),X170/W170-1,"")</f>
        <v>-0.0205008433891267</v>
      </c>
      <c r="Z170" s="16" t="n">
        <v>0.0201233267075212</v>
      </c>
      <c r="AA170" s="16" t="n">
        <v>0.041984534744927</v>
      </c>
      <c r="AC170" s="16" t="n">
        <f aca="false">IF(AND(ISNUMBER(N170),ISNUMBER(AA170)),N170-AA170,"")</f>
        <v>0.592266884719163</v>
      </c>
    </row>
    <row r="171" customFormat="false" ht="15" hidden="false" customHeight="false" outlineLevel="0" collapsed="false">
      <c r="A171" s="0" t="s">
        <v>550</v>
      </c>
      <c r="B171" s="0" t="s">
        <v>551</v>
      </c>
      <c r="C171" s="0" t="s">
        <v>38</v>
      </c>
      <c r="D171" s="15" t="n">
        <v>46971</v>
      </c>
      <c r="E171" s="15" t="n">
        <v>43842</v>
      </c>
      <c r="F171" s="15" t="n">
        <v>33379</v>
      </c>
      <c r="G171" s="15" t="n">
        <v>27005</v>
      </c>
      <c r="H171" s="15" t="n">
        <v>29776</v>
      </c>
      <c r="I171" s="15" t="n">
        <v>5472</v>
      </c>
      <c r="J171" s="15" t="n">
        <v>3762</v>
      </c>
      <c r="K171" s="15" t="n">
        <v>3145</v>
      </c>
      <c r="L171" s="15" t="n">
        <v>2168</v>
      </c>
      <c r="M171" s="15" t="n">
        <v>1901</v>
      </c>
      <c r="N171" s="16" t="n">
        <v>0.577478506179473</v>
      </c>
      <c r="O171" s="16" t="n">
        <v>1.87848500789058</v>
      </c>
      <c r="P171" s="16" t="n">
        <v>0.0713699192555084</v>
      </c>
      <c r="Q171" s="16" t="n">
        <v>0.313460559034123</v>
      </c>
      <c r="R171" s="16" t="n">
        <v>0.236030364747269</v>
      </c>
      <c r="S171" s="16" t="n">
        <v>-0.0930615260612574</v>
      </c>
      <c r="V171" s="17" t="s">
        <v>34</v>
      </c>
      <c r="W171" s="18" t="n">
        <v>132.09</v>
      </c>
      <c r="X171" s="18" t="n">
        <v>549.83</v>
      </c>
      <c r="Y171" s="16" t="n">
        <f aca="false">IF(AND(ISNUMBER(W171),ISNUMBER(X171)),X171/W171-1,"")</f>
        <v>3.16254069195246</v>
      </c>
      <c r="Z171" s="16" t="n">
        <v>3.21558435541804</v>
      </c>
      <c r="AA171" s="16" t="n">
        <v>0.189802605290498</v>
      </c>
      <c r="AB171" s="19" t="s">
        <v>35</v>
      </c>
      <c r="AC171" s="16" t="n">
        <f aca="false">IF(AND(ISNUMBER(N171),ISNUMBER(AA171)),N171-AA171,"")</f>
        <v>0.387675900888975</v>
      </c>
    </row>
    <row r="172" customFormat="false" ht="15" hidden="false" customHeight="false" outlineLevel="0" collapsed="false">
      <c r="A172" s="0" t="s">
        <v>552</v>
      </c>
      <c r="B172" s="0" t="s">
        <v>553</v>
      </c>
      <c r="C172" s="0" t="s">
        <v>31</v>
      </c>
      <c r="D172" s="15" t="n">
        <v>1923.686</v>
      </c>
      <c r="E172" s="15" t="n">
        <v>1842.449</v>
      </c>
      <c r="F172" s="15" t="n">
        <v>1657.944</v>
      </c>
      <c r="G172" s="15" t="n">
        <v>1405.045</v>
      </c>
      <c r="H172" s="15" t="n">
        <v>1258.754</v>
      </c>
      <c r="I172" s="15" t="n">
        <v>1494.277</v>
      </c>
      <c r="J172" s="15" t="n">
        <v>1439.933</v>
      </c>
      <c r="K172" s="15" t="n">
        <v>1275.243</v>
      </c>
      <c r="L172" s="15" t="n">
        <v>1079.007</v>
      </c>
      <c r="M172" s="15" t="n">
        <v>957.682</v>
      </c>
      <c r="N172" s="16" t="n">
        <v>0.528246186308047</v>
      </c>
      <c r="O172" s="16" t="n">
        <v>0.56030603060306</v>
      </c>
      <c r="P172" s="16" t="n">
        <v>0.0440918581735506</v>
      </c>
      <c r="Q172" s="16" t="n">
        <v>0.111285423391864</v>
      </c>
      <c r="R172" s="16" t="n">
        <v>0.17999352333911</v>
      </c>
      <c r="S172" s="16" t="n">
        <v>0.116218895828732</v>
      </c>
      <c r="V172" s="17" t="s">
        <v>76</v>
      </c>
      <c r="W172" s="18" t="n">
        <v>641.92</v>
      </c>
      <c r="X172" s="18" t="n">
        <v>315.25</v>
      </c>
      <c r="Y172" s="16" t="n">
        <f aca="false">IF(AND(ISNUMBER(W172),ISNUMBER(X172)),X172/W172-1,"")</f>
        <v>-0.508895189431705</v>
      </c>
      <c r="Z172" s="16" t="n">
        <v>-0.508895176357015</v>
      </c>
      <c r="AA172" s="16" t="n">
        <v>0.770362088000956</v>
      </c>
      <c r="AC172" s="16" t="n">
        <f aca="false">IF(AND(ISNUMBER(N172),ISNUMBER(AA172)),N172-AA172,"")</f>
        <v>-0.242115901692909</v>
      </c>
    </row>
    <row r="173" customFormat="false" ht="15" hidden="false" customHeight="false" outlineLevel="0" collapsed="false">
      <c r="A173" s="0" t="s">
        <v>554</v>
      </c>
      <c r="B173" s="0" t="s">
        <v>555</v>
      </c>
      <c r="C173" s="0" t="s">
        <v>38</v>
      </c>
      <c r="D173" s="15" t="n">
        <v>2476.822</v>
      </c>
      <c r="E173" s="15" t="n">
        <v>2275.985</v>
      </c>
      <c r="F173" s="15" t="n">
        <v>2408.798</v>
      </c>
      <c r="G173" s="15" t="n">
        <v>2254.86</v>
      </c>
      <c r="H173" s="15" t="n">
        <v>1739.737</v>
      </c>
      <c r="I173" s="15" t="n">
        <v>359.655</v>
      </c>
      <c r="J173" s="15" t="n">
        <v>236.32</v>
      </c>
      <c r="K173" s="15" t="n">
        <v>321.328</v>
      </c>
      <c r="L173" s="15" t="n">
        <v>121.393</v>
      </c>
      <c r="M173" s="15" t="n">
        <v>165.269</v>
      </c>
      <c r="N173" s="16" t="n">
        <v>0.423676107365654</v>
      </c>
      <c r="O173" s="16" t="n">
        <v>1.17617944079047</v>
      </c>
      <c r="P173" s="16" t="n">
        <v>0.0882417942121763</v>
      </c>
      <c r="Q173" s="16" t="n">
        <v>-0.0551366283100534</v>
      </c>
      <c r="R173" s="16" t="n">
        <v>0.0682694269267272</v>
      </c>
      <c r="S173" s="16" t="n">
        <v>0.296092455353884</v>
      </c>
      <c r="V173" s="17" t="s">
        <v>34</v>
      </c>
      <c r="W173" s="18" t="n">
        <v>468.09</v>
      </c>
      <c r="X173" s="18" t="n">
        <v>413.06</v>
      </c>
      <c r="Y173" s="16" t="n">
        <f aca="false">IF(AND(ISNUMBER(W173),ISNUMBER(X173)),X173/W173-1,"")</f>
        <v>-0.117562861842808</v>
      </c>
      <c r="Z173" s="16" t="n">
        <v>-0.117562860154724</v>
      </c>
      <c r="AA173" s="16" t="n">
        <v>0.140251116009252</v>
      </c>
      <c r="AC173" s="16" t="n">
        <f aca="false">IF(AND(ISNUMBER(N173),ISNUMBER(AA173)),N173-AA173,"")</f>
        <v>0.283424991356402</v>
      </c>
    </row>
    <row r="174" customFormat="false" ht="15" hidden="false" customHeight="false" outlineLevel="0" collapsed="false">
      <c r="A174" s="0" t="s">
        <v>556</v>
      </c>
      <c r="B174" s="0" t="s">
        <v>557</v>
      </c>
      <c r="C174" s="0" t="s">
        <v>132</v>
      </c>
      <c r="D174" s="15" t="n">
        <v>3305.702</v>
      </c>
      <c r="E174" s="15" t="n">
        <v>3134.347</v>
      </c>
      <c r="F174" s="15" t="n">
        <v>2628.061</v>
      </c>
      <c r="G174" s="15" t="n">
        <v>2516.141</v>
      </c>
      <c r="H174" s="15" t="n">
        <v>2388.587</v>
      </c>
      <c r="I174" s="15" t="n">
        <v>558.424</v>
      </c>
      <c r="J174" s="15" t="n">
        <v>-943.73</v>
      </c>
      <c r="K174" s="15" t="n">
        <v>476.989</v>
      </c>
      <c r="L174" s="15" t="n">
        <v>443.332</v>
      </c>
      <c r="M174" s="15" t="n">
        <v>378.577</v>
      </c>
      <c r="N174" s="16" t="n">
        <v>0.383957126116821</v>
      </c>
      <c r="O174" s="16" t="n">
        <v>0.475060555712576</v>
      </c>
      <c r="P174" s="16" t="n">
        <v>0.0546700796050981</v>
      </c>
      <c r="Q174" s="16" t="n">
        <v>0.192646213310878</v>
      </c>
      <c r="R174" s="16" t="n">
        <v>0.0444808140720254</v>
      </c>
      <c r="S174" s="16" t="n">
        <v>0.0534014461269361</v>
      </c>
      <c r="V174" s="17" t="s">
        <v>535</v>
      </c>
      <c r="W174" s="18" t="n">
        <v>170.97</v>
      </c>
      <c r="X174" s="18" t="n">
        <v>229.87</v>
      </c>
      <c r="Y174" s="16" t="n">
        <f aca="false">IF(AND(ISNUMBER(W174),ISNUMBER(X174)),X174/W174-1,"")</f>
        <v>0.34450488389776</v>
      </c>
      <c r="Z174" s="16" t="n">
        <v>0.364299238470718</v>
      </c>
      <c r="AA174" s="16" t="n">
        <v>0.396386838834688</v>
      </c>
      <c r="AC174" s="16" t="n">
        <f aca="false">IF(AND(ISNUMBER(N174),ISNUMBER(AA174)),N174-AA174,"")</f>
        <v>-0.0124297127178663</v>
      </c>
    </row>
    <row r="175" customFormat="false" ht="15" hidden="false" customHeight="false" outlineLevel="0" collapsed="false">
      <c r="A175" s="0" t="s">
        <v>558</v>
      </c>
      <c r="B175" s="0" t="s">
        <v>559</v>
      </c>
      <c r="C175" s="0" t="s">
        <v>38</v>
      </c>
      <c r="D175" s="15" t="n">
        <v>1671.129</v>
      </c>
      <c r="E175" s="15" t="n">
        <v>1570.739</v>
      </c>
      <c r="F175" s="15" t="n">
        <v>1427.042</v>
      </c>
      <c r="G175" s="15" t="n">
        <v>1351.984</v>
      </c>
      <c r="H175" s="15" t="n">
        <v>1219.385</v>
      </c>
      <c r="I175" s="15" t="n">
        <v>302.066</v>
      </c>
      <c r="J175" s="15" t="n">
        <v>238.676</v>
      </c>
      <c r="K175" s="15" t="n">
        <v>191.216</v>
      </c>
      <c r="L175" s="15" t="n">
        <v>118.49</v>
      </c>
      <c r="M175" s="15" t="n">
        <v>75.305</v>
      </c>
      <c r="N175" s="16" t="n">
        <v>0.370468719887484</v>
      </c>
      <c r="O175" s="16" t="n">
        <v>3.01123431379059</v>
      </c>
      <c r="P175" s="16" t="n">
        <v>0.063912591461726</v>
      </c>
      <c r="Q175" s="16" t="n">
        <v>0.100695704821582</v>
      </c>
      <c r="R175" s="16" t="n">
        <v>0.0555169291944284</v>
      </c>
      <c r="S175" s="16" t="n">
        <v>0.108742521845028</v>
      </c>
      <c r="V175" s="17" t="s">
        <v>34</v>
      </c>
      <c r="W175" s="18" t="n">
        <v>138.42</v>
      </c>
      <c r="X175" s="18" t="n">
        <v>355.91</v>
      </c>
      <c r="Y175" s="16" t="n">
        <f aca="false">IF(AND(ISNUMBER(W175),ISNUMBER(X175)),X175/W175-1,"")</f>
        <v>1.57123248085537</v>
      </c>
      <c r="Z175" s="16" t="n">
        <v>1.57123254132479</v>
      </c>
      <c r="AA175" s="16" t="n">
        <v>0.294040801945861</v>
      </c>
      <c r="AC175" s="16" t="n">
        <f aca="false">IF(AND(ISNUMBER(N175),ISNUMBER(AA175)),N175-AA175,"")</f>
        <v>0.0764279179416236</v>
      </c>
    </row>
    <row r="176" customFormat="false" ht="15" hidden="false" customHeight="false" outlineLevel="0" collapsed="false">
      <c r="A176" s="0" t="s">
        <v>560</v>
      </c>
      <c r="B176" s="0" t="s">
        <v>561</v>
      </c>
      <c r="C176" s="0" t="s">
        <v>38</v>
      </c>
      <c r="D176" s="15" t="n">
        <v>1846</v>
      </c>
      <c r="E176" s="15" t="n">
        <v>1717</v>
      </c>
      <c r="F176" s="15" t="n">
        <v>1600</v>
      </c>
      <c r="G176" s="15" t="n">
        <v>1419</v>
      </c>
      <c r="H176" s="15" t="n">
        <v>1352</v>
      </c>
      <c r="I176" s="15" t="n">
        <v>461</v>
      </c>
      <c r="J176" s="15" t="n">
        <v>407</v>
      </c>
      <c r="K176" s="15" t="n">
        <v>248</v>
      </c>
      <c r="L176" s="15" t="n">
        <v>217</v>
      </c>
      <c r="M176" s="15" t="n">
        <v>234</v>
      </c>
      <c r="N176" s="16" t="n">
        <v>0.365384615384615</v>
      </c>
      <c r="O176" s="16" t="n">
        <v>0.97008547008547</v>
      </c>
      <c r="P176" s="16" t="n">
        <v>0.0751310425160163</v>
      </c>
      <c r="Q176" s="16" t="n">
        <v>0.0731250000000001</v>
      </c>
      <c r="R176" s="16" t="n">
        <v>0.127554615926709</v>
      </c>
      <c r="S176" s="16" t="n">
        <v>0.0495562130177514</v>
      </c>
      <c r="V176" s="17" t="s">
        <v>34</v>
      </c>
      <c r="W176" s="18" t="n">
        <v>174.41</v>
      </c>
      <c r="X176" s="18" t="n">
        <v>353.36</v>
      </c>
      <c r="Y176" s="16" t="n">
        <f aca="false">IF(AND(ISNUMBER(W176),ISNUMBER(X176)),X176/W176-1,"")</f>
        <v>1.02603061751046</v>
      </c>
      <c r="Z176" s="16" t="n">
        <v>1.02603049098112</v>
      </c>
      <c r="AA176" s="16" t="n">
        <v>0.110928512736237</v>
      </c>
      <c r="AC176" s="16" t="n">
        <f aca="false">IF(AND(ISNUMBER(N176),ISNUMBER(AA176)),N176-AA176,"")</f>
        <v>0.254456102648379</v>
      </c>
    </row>
    <row r="177" customFormat="false" ht="15" hidden="false" customHeight="false" outlineLevel="0" collapsed="false">
      <c r="A177" s="0" t="s">
        <v>562</v>
      </c>
      <c r="B177" s="0" t="s">
        <v>563</v>
      </c>
      <c r="C177" s="0" t="s">
        <v>31</v>
      </c>
      <c r="D177" s="15" t="n">
        <v>1654</v>
      </c>
      <c r="E177" s="15" t="n">
        <v>1880</v>
      </c>
      <c r="F177" s="15" t="n">
        <v>1580</v>
      </c>
      <c r="G177" s="15" t="n">
        <v>1550</v>
      </c>
      <c r="H177" s="15" t="n">
        <v>1249</v>
      </c>
      <c r="I177" s="15" t="n">
        <v>417</v>
      </c>
      <c r="J177" s="15" t="n">
        <v>551</v>
      </c>
      <c r="K177" s="15" t="n">
        <v>340</v>
      </c>
      <c r="L177" s="15" t="n">
        <v>374</v>
      </c>
      <c r="M177" s="15" t="n">
        <v>337</v>
      </c>
      <c r="N177" s="16" t="n">
        <v>0.324259407526021</v>
      </c>
      <c r="O177" s="16" t="n">
        <v>0.237388724035608</v>
      </c>
      <c r="P177" s="16" t="n">
        <v>-0.120212765957447</v>
      </c>
      <c r="Q177" s="16" t="n">
        <v>0.189873417721519</v>
      </c>
      <c r="R177" s="16" t="n">
        <v>0.0193548387096774</v>
      </c>
      <c r="S177" s="16" t="n">
        <v>0.240992794235388</v>
      </c>
      <c r="V177" s="17" t="s">
        <v>51</v>
      </c>
      <c r="W177" s="18" t="n">
        <v>93.22</v>
      </c>
      <c r="X177" s="18" t="n">
        <v>61.7</v>
      </c>
      <c r="Y177" s="16" t="n">
        <f aca="false">IF(AND(ISNUMBER(W177),ISNUMBER(X177)),X177/W177-1,"")</f>
        <v>-0.338124865908603</v>
      </c>
      <c r="Z177" s="16" t="n">
        <v>-0.331722800163517</v>
      </c>
      <c r="AA177" s="16" t="n">
        <v>0.0908319185059423</v>
      </c>
      <c r="AC177" s="16" t="n">
        <f aca="false">IF(AND(ISNUMBER(N177),ISNUMBER(AA177)),N177-AA177,"")</f>
        <v>0.233427489020078</v>
      </c>
    </row>
    <row r="178" customFormat="false" ht="15" hidden="false" customHeight="false" outlineLevel="0" collapsed="false">
      <c r="A178" s="0" t="s">
        <v>564</v>
      </c>
      <c r="B178" s="0" t="s">
        <v>565</v>
      </c>
      <c r="C178" s="0" t="s">
        <v>31</v>
      </c>
      <c r="D178" s="15" t="n">
        <v>246.059</v>
      </c>
      <c r="E178" s="15" t="n">
        <v>236.818</v>
      </c>
      <c r="F178" s="15" t="n">
        <v>211.579</v>
      </c>
      <c r="G178" s="15" t="n">
        <v>203.085</v>
      </c>
      <c r="H178" s="15" t="n">
        <v>187.543</v>
      </c>
      <c r="I178" s="15" t="n">
        <v>191.817</v>
      </c>
      <c r="J178" s="15" t="n">
        <v>182.328</v>
      </c>
      <c r="K178" s="15" t="n">
        <v>149.246</v>
      </c>
      <c r="L178" s="15" t="n">
        <v>149.091</v>
      </c>
      <c r="M178" s="15" t="n">
        <v>143.751</v>
      </c>
      <c r="N178" s="16" t="n">
        <v>0.312013778173539</v>
      </c>
      <c r="O178" s="16" t="n">
        <v>0.334369847861928</v>
      </c>
      <c r="P178" s="16" t="n">
        <v>0.0390215270798673</v>
      </c>
      <c r="Q178" s="16" t="n">
        <v>0.119288776296324</v>
      </c>
      <c r="R178" s="16" t="n">
        <v>0.0418248516630968</v>
      </c>
      <c r="S178" s="16" t="n">
        <v>0.0828716614323115</v>
      </c>
      <c r="V178" s="17" t="s">
        <v>80</v>
      </c>
      <c r="W178" s="18" t="n">
        <v>311.6667</v>
      </c>
      <c r="X178" s="18" t="n">
        <v>335.74</v>
      </c>
      <c r="Y178" s="16" t="n">
        <f aca="false">IF(AND(ISNUMBER(W178),ISNUMBER(X178)),X178/W178-1,"")</f>
        <v>0.0772405264983396</v>
      </c>
      <c r="Z178" s="16" t="n">
        <v>0.0838643777448132</v>
      </c>
      <c r="AA178" s="16" t="n">
        <v>0.0882530435085358</v>
      </c>
      <c r="AC178" s="16" t="n">
        <f aca="false">IF(AND(ISNUMBER(N178),ISNUMBER(AA178)),N178-AA178,"")</f>
        <v>0.223760734665003</v>
      </c>
    </row>
    <row r="179" customFormat="false" ht="15" hidden="false" customHeight="false" outlineLevel="0" collapsed="false">
      <c r="A179" s="0" t="s">
        <v>566</v>
      </c>
      <c r="B179" s="0" t="s">
        <v>567</v>
      </c>
      <c r="C179" s="0" t="s">
        <v>31</v>
      </c>
      <c r="D179" s="15" t="n">
        <v>7084</v>
      </c>
      <c r="E179" s="15" t="n">
        <v>6698</v>
      </c>
      <c r="F179" s="15" t="n">
        <v>7008</v>
      </c>
      <c r="G179" s="15" t="n">
        <v>6509</v>
      </c>
      <c r="H179" s="15" t="n">
        <v>5423</v>
      </c>
      <c r="I179" s="15" t="n">
        <v>2472</v>
      </c>
      <c r="J179" s="15" t="n">
        <v>2261</v>
      </c>
      <c r="K179" s="15" t="n">
        <v>2228</v>
      </c>
      <c r="L179" s="15" t="n">
        <v>2045</v>
      </c>
      <c r="M179" s="15" t="n">
        <v>1850</v>
      </c>
      <c r="N179" s="16" t="n">
        <v>0.306288032454361</v>
      </c>
      <c r="O179" s="16" t="n">
        <v>0.336216216216216</v>
      </c>
      <c r="P179" s="16" t="n">
        <v>0.0576291430277696</v>
      </c>
      <c r="Q179" s="16" t="n">
        <v>-0.0442351598173516</v>
      </c>
      <c r="R179" s="16" t="n">
        <v>0.0766630818866185</v>
      </c>
      <c r="S179" s="16" t="n">
        <v>0.200258159690208</v>
      </c>
      <c r="V179" s="17" t="s">
        <v>51</v>
      </c>
      <c r="W179" s="18" t="n">
        <v>1127.98</v>
      </c>
      <c r="X179" s="18" t="n">
        <v>1060.89</v>
      </c>
      <c r="Y179" s="16" t="n">
        <f aca="false">IF(AND(ISNUMBER(W179),ISNUMBER(X179)),X179/W179-1,"")</f>
        <v>-0.0594780049291653</v>
      </c>
      <c r="Z179" s="16" t="n">
        <v>-0.0393784905634099</v>
      </c>
      <c r="AA179" s="16" t="n">
        <v>0.128616024973985</v>
      </c>
      <c r="AC179" s="16" t="n">
        <f aca="false">IF(AND(ISNUMBER(N179),ISNUMBER(AA179)),N179-AA179,"")</f>
        <v>0.177672007480376</v>
      </c>
    </row>
    <row r="180" customFormat="false" ht="15" hidden="false" customHeight="false" outlineLevel="0" collapsed="false">
      <c r="A180" s="0" t="s">
        <v>568</v>
      </c>
      <c r="B180" s="0" t="s">
        <v>569</v>
      </c>
      <c r="C180" s="0" t="s">
        <v>38</v>
      </c>
      <c r="D180" s="15" t="n">
        <v>2025</v>
      </c>
      <c r="E180" s="15" t="n">
        <v>1948</v>
      </c>
      <c r="F180" s="15" t="n">
        <v>1713</v>
      </c>
      <c r="G180" s="15" t="n">
        <v>1705</v>
      </c>
      <c r="H180" s="15" t="n">
        <v>1559</v>
      </c>
      <c r="I180" s="15" t="n">
        <v>540</v>
      </c>
      <c r="J180" s="15" t="n">
        <v>531</v>
      </c>
      <c r="K180" s="15" t="n">
        <v>431</v>
      </c>
      <c r="L180" s="15" t="n">
        <v>422</v>
      </c>
      <c r="M180" s="15" t="n">
        <v>311</v>
      </c>
      <c r="N180" s="16" t="n">
        <v>0.298909557408595</v>
      </c>
      <c r="O180" s="16" t="n">
        <v>0.736334405144695</v>
      </c>
      <c r="P180" s="16" t="n">
        <v>0.0395277207392197</v>
      </c>
      <c r="Q180" s="16" t="n">
        <v>0.137186223000584</v>
      </c>
      <c r="R180" s="16" t="n">
        <v>0.0046920821114369</v>
      </c>
      <c r="S180" s="16" t="n">
        <v>0.0936497754971135</v>
      </c>
      <c r="V180" s="17" t="s">
        <v>34</v>
      </c>
      <c r="W180" s="18" t="n">
        <v>123.25</v>
      </c>
      <c r="X180" s="18" t="n">
        <v>196.33</v>
      </c>
      <c r="Y180" s="16" t="n">
        <f aca="false">IF(AND(ISNUMBER(W180),ISNUMBER(X180)),X180/W180-1,"")</f>
        <v>0.592941176470588</v>
      </c>
      <c r="Z180" s="16" t="n">
        <v>0.620819024427328</v>
      </c>
      <c r="AA180" s="16" t="n">
        <v>0.0116807268007788</v>
      </c>
      <c r="AC180" s="16" t="n">
        <f aca="false">IF(AND(ISNUMBER(N180),ISNUMBER(AA180)),N180-AA180,"")</f>
        <v>0.287228830607816</v>
      </c>
    </row>
    <row r="181" customFormat="false" ht="15" hidden="false" customHeight="false" outlineLevel="0" collapsed="false">
      <c r="A181" s="0" t="s">
        <v>570</v>
      </c>
      <c r="B181" s="0" t="s">
        <v>571</v>
      </c>
      <c r="C181" s="0" t="s">
        <v>572</v>
      </c>
      <c r="D181" s="15" t="n">
        <v>19345</v>
      </c>
      <c r="E181" s="15" t="n">
        <v>19184</v>
      </c>
      <c r="F181" s="15" t="n">
        <v>17190</v>
      </c>
      <c r="G181" s="15" t="n">
        <v>16058</v>
      </c>
      <c r="H181" s="15" t="n">
        <v>14926</v>
      </c>
      <c r="I181" s="15" t="n">
        <v>6822</v>
      </c>
      <c r="J181" s="15" t="n">
        <v>6955</v>
      </c>
      <c r="K181" s="15" t="n">
        <v>5637</v>
      </c>
      <c r="L181" s="15" t="n">
        <v>5158</v>
      </c>
      <c r="M181" s="15" t="n">
        <v>4692</v>
      </c>
      <c r="N181" s="16" t="n">
        <v>0.296060565456251</v>
      </c>
      <c r="O181" s="16" t="n">
        <v>0.453964194373402</v>
      </c>
      <c r="P181" s="16" t="n">
        <v>0.00839241034195171</v>
      </c>
      <c r="Q181" s="16" t="n">
        <v>0.115997673065736</v>
      </c>
      <c r="R181" s="16" t="n">
        <v>0.0704944575912319</v>
      </c>
      <c r="S181" s="16" t="n">
        <v>0.0758408146857832</v>
      </c>
      <c r="V181" s="17" t="s">
        <v>34</v>
      </c>
      <c r="W181" s="18" t="n">
        <v>308.46</v>
      </c>
      <c r="X181" s="18" t="n">
        <v>144.56</v>
      </c>
      <c r="Y181" s="16" t="n">
        <f aca="false">IF(AND(ISNUMBER(W181),ISNUMBER(X181)),X181/W181-1,"")</f>
        <v>-0.531349283537574</v>
      </c>
      <c r="Z181" s="16" t="n">
        <v>-0.526007801104554</v>
      </c>
      <c r="AA181" s="16" t="n">
        <v>0.121665288945668</v>
      </c>
      <c r="AC181" s="16" t="n">
        <f aca="false">IF(AND(ISNUMBER(N181),ISNUMBER(AA181)),N181-AA181,"")</f>
        <v>0.174395276510583</v>
      </c>
    </row>
    <row r="182" customFormat="false" ht="15" hidden="false" customHeight="false" outlineLevel="0" collapsed="false">
      <c r="A182" s="0" t="s">
        <v>573</v>
      </c>
      <c r="B182" s="0" t="s">
        <v>574</v>
      </c>
      <c r="C182" s="0" t="s">
        <v>31</v>
      </c>
      <c r="D182" s="15" t="n">
        <v>3377</v>
      </c>
      <c r="E182" s="15" t="n">
        <v>3295</v>
      </c>
      <c r="F182" s="15" t="n">
        <v>2812</v>
      </c>
      <c r="G182" s="15" t="n">
        <v>2717</v>
      </c>
      <c r="H182" s="15" t="n">
        <v>2616</v>
      </c>
      <c r="I182" s="15" t="n">
        <v>507</v>
      </c>
      <c r="J182" s="15" t="n">
        <v>527</v>
      </c>
      <c r="K182" s="15" t="n">
        <v>543</v>
      </c>
      <c r="L182" s="15" t="n">
        <v>459</v>
      </c>
      <c r="M182" s="15" t="n">
        <v>408</v>
      </c>
      <c r="N182" s="16" t="n">
        <v>0.290902140672783</v>
      </c>
      <c r="O182" s="16" t="n">
        <v>0.242647058823529</v>
      </c>
      <c r="P182" s="16" t="n">
        <v>0.0248861911987861</v>
      </c>
      <c r="Q182" s="16" t="n">
        <v>0.17176386913229</v>
      </c>
      <c r="R182" s="16" t="n">
        <v>0.034965034965035</v>
      </c>
      <c r="S182" s="16" t="n">
        <v>0.0386085626911314</v>
      </c>
      <c r="V182" s="17" t="s">
        <v>51</v>
      </c>
      <c r="W182" s="18" t="n">
        <v>64.13</v>
      </c>
      <c r="X182" s="18" t="n">
        <v>34.67</v>
      </c>
      <c r="Y182" s="16" t="n">
        <f aca="false">IF(AND(ISNUMBER(W182),ISNUMBER(X182)),X182/W182-1,"")</f>
        <v>-0.459379385622953</v>
      </c>
      <c r="Z182" s="16" t="n">
        <v>-0.438724680248347</v>
      </c>
      <c r="AA182" s="16" t="n">
        <v>0.0506024096385542</v>
      </c>
      <c r="AC182" s="16" t="n">
        <f aca="false">IF(AND(ISNUMBER(N182),ISNUMBER(AA182)),N182-AA182,"")</f>
        <v>0.240299731034229</v>
      </c>
    </row>
    <row r="183" customFormat="false" ht="15" hidden="false" customHeight="false" outlineLevel="0" collapsed="false">
      <c r="A183" s="0" t="s">
        <v>575</v>
      </c>
      <c r="B183" s="0" t="s">
        <v>576</v>
      </c>
      <c r="C183" s="0" t="s">
        <v>31</v>
      </c>
      <c r="D183" s="15" t="n">
        <v>4212</v>
      </c>
      <c r="E183" s="15" t="n">
        <v>3994</v>
      </c>
      <c r="F183" s="15" t="n">
        <v>5182</v>
      </c>
      <c r="G183" s="15" t="n">
        <v>3738</v>
      </c>
      <c r="H183" s="15" t="n">
        <v>3287</v>
      </c>
      <c r="I183" s="15" t="n">
        <v>1084</v>
      </c>
      <c r="J183" s="15" t="n">
        <v>853</v>
      </c>
      <c r="K183" s="15" t="n">
        <v>592</v>
      </c>
      <c r="L183" s="15" t="n">
        <v>967</v>
      </c>
      <c r="M183" s="15" t="n">
        <v>836</v>
      </c>
      <c r="N183" s="16" t="n">
        <v>0.281411621539398</v>
      </c>
      <c r="O183" s="16" t="n">
        <v>0.296650717703349</v>
      </c>
      <c r="P183" s="16" t="n">
        <v>0.0545818728092138</v>
      </c>
      <c r="Q183" s="16" t="n">
        <v>-0.229255113855654</v>
      </c>
      <c r="R183" s="16" t="n">
        <v>0.386302835741038</v>
      </c>
      <c r="S183" s="16" t="n">
        <v>0.137207179799209</v>
      </c>
      <c r="V183" s="17" t="s">
        <v>76</v>
      </c>
      <c r="W183" s="18" t="n">
        <v>60.16</v>
      </c>
      <c r="X183" s="18" t="n">
        <v>63.96</v>
      </c>
      <c r="Y183" s="16" t="n">
        <f aca="false">IF(AND(ISNUMBER(W183),ISNUMBER(X183)),X183/W183-1,"")</f>
        <v>0.0631648936170213</v>
      </c>
      <c r="Z183" s="16" t="n">
        <v>0.0731002517189272</v>
      </c>
      <c r="AA183" s="16" t="n">
        <v>0.0630659767141009</v>
      </c>
      <c r="AC183" s="16" t="n">
        <f aca="false">IF(AND(ISNUMBER(N183),ISNUMBER(AA183)),N183-AA183,"")</f>
        <v>0.218345644825297</v>
      </c>
    </row>
    <row r="184" customFormat="false" ht="15" hidden="false" customHeight="false" outlineLevel="0" collapsed="false">
      <c r="A184" s="0" t="s">
        <v>577</v>
      </c>
      <c r="B184" s="0" t="s">
        <v>578</v>
      </c>
      <c r="C184" s="0" t="s">
        <v>31</v>
      </c>
      <c r="D184" s="15" t="n">
        <v>4212</v>
      </c>
      <c r="E184" s="15" t="n">
        <v>3994</v>
      </c>
      <c r="F184" s="15" t="n">
        <v>5182</v>
      </c>
      <c r="G184" s="15" t="n">
        <v>3738</v>
      </c>
      <c r="H184" s="15" t="n">
        <v>3287</v>
      </c>
      <c r="I184" s="15" t="n">
        <v>1084</v>
      </c>
      <c r="J184" s="15" t="n">
        <v>853</v>
      </c>
      <c r="K184" s="15" t="n">
        <v>592</v>
      </c>
      <c r="L184" s="15" t="n">
        <v>967</v>
      </c>
      <c r="M184" s="15" t="n">
        <v>836</v>
      </c>
      <c r="N184" s="16" t="n">
        <v>0.281411621539398</v>
      </c>
      <c r="O184" s="16" t="n">
        <v>0.296650717703349</v>
      </c>
      <c r="P184" s="16" t="n">
        <v>0.0545818728092138</v>
      </c>
      <c r="Q184" s="16" t="n">
        <v>-0.229255113855654</v>
      </c>
      <c r="R184" s="16" t="n">
        <v>0.386302835741038</v>
      </c>
      <c r="S184" s="16" t="n">
        <v>0.137207179799209</v>
      </c>
      <c r="V184" s="17" t="s">
        <v>76</v>
      </c>
      <c r="W184" s="18" t="n">
        <v>54.3</v>
      </c>
      <c r="X184" s="18" t="n">
        <v>56.96</v>
      </c>
      <c r="Y184" s="16" t="n">
        <f aca="false">IF(AND(ISNUMBER(W184),ISNUMBER(X184)),X184/W184-1,"")</f>
        <v>0.0489871086556171</v>
      </c>
      <c r="Z184" s="16" t="n">
        <v>0.0598312571293469</v>
      </c>
      <c r="AA184" s="16"/>
      <c r="AC184" s="16" t="str">
        <f aca="false">IF(AND(ISNUMBER(N184),ISNUMBER(AA184)),N184-AA184,"")</f>
        <v/>
      </c>
    </row>
    <row r="185" customFormat="false" ht="15" hidden="false" customHeight="false" outlineLevel="0" collapsed="false">
      <c r="A185" s="0" t="s">
        <v>579</v>
      </c>
      <c r="B185" s="0" t="s">
        <v>580</v>
      </c>
      <c r="C185" s="0" t="s">
        <v>31</v>
      </c>
      <c r="D185" s="15" t="n">
        <v>60801</v>
      </c>
      <c r="E185" s="15" t="n">
        <v>56311</v>
      </c>
      <c r="F185" s="15" t="n">
        <v>59893</v>
      </c>
      <c r="G185" s="15" t="n">
        <v>51242</v>
      </c>
      <c r="H185" s="15" t="n">
        <v>47516</v>
      </c>
      <c r="I185" s="15" t="n">
        <v>18775</v>
      </c>
      <c r="J185" s="15" t="n">
        <v>22872</v>
      </c>
      <c r="K185" s="15" t="n">
        <v>24745</v>
      </c>
      <c r="L185" s="15" t="n">
        <v>20535</v>
      </c>
      <c r="M185" s="15" t="n">
        <v>20441</v>
      </c>
      <c r="N185" s="16" t="n">
        <v>0.279590032831046</v>
      </c>
      <c r="O185" s="16" t="n">
        <v>-0.0815028618952106</v>
      </c>
      <c r="P185" s="16" t="n">
        <v>0.0797357532276108</v>
      </c>
      <c r="Q185" s="16" t="n">
        <v>-0.0598066552017765</v>
      </c>
      <c r="R185" s="16" t="n">
        <v>0.168826353381991</v>
      </c>
      <c r="S185" s="16" t="n">
        <v>0.0784156915565284</v>
      </c>
      <c r="V185" s="17" t="s">
        <v>76</v>
      </c>
      <c r="W185" s="18" t="n">
        <v>760.66</v>
      </c>
      <c r="X185" s="18" t="n">
        <v>744.1</v>
      </c>
      <c r="Y185" s="16" t="n">
        <f aca="false">IF(AND(ISNUMBER(W185),ISNUMBER(X185)),X185/W185-1,"")</f>
        <v>-0.0217705676649225</v>
      </c>
      <c r="Z185" s="16" t="n">
        <v>-0.0184522855361703</v>
      </c>
      <c r="AA185" s="16" t="n">
        <v>0.216144966855212</v>
      </c>
      <c r="AB185" s="19" t="s">
        <v>35</v>
      </c>
      <c r="AC185" s="16" t="n">
        <f aca="false">IF(AND(ISNUMBER(N185),ISNUMBER(AA185)),N185-AA185,"")</f>
        <v>0.0634450659758341</v>
      </c>
    </row>
    <row r="186" customFormat="false" ht="15" hidden="false" customHeight="false" outlineLevel="0" collapsed="false">
      <c r="A186" s="0" t="s">
        <v>581</v>
      </c>
      <c r="B186" s="0" t="s">
        <v>582</v>
      </c>
      <c r="C186" s="0" t="s">
        <v>31</v>
      </c>
      <c r="D186" s="15" t="n">
        <v>19884</v>
      </c>
      <c r="E186" s="15" t="n">
        <v>19324</v>
      </c>
      <c r="F186" s="15" t="n">
        <v>16762</v>
      </c>
      <c r="G186" s="15" t="n">
        <v>17083</v>
      </c>
      <c r="H186" s="15" t="n">
        <v>15604</v>
      </c>
      <c r="N186" s="16" t="n">
        <v>0.274288643937452</v>
      </c>
      <c r="P186" s="16" t="n">
        <v>0.0289795073483752</v>
      </c>
      <c r="Q186" s="16" t="n">
        <v>0.152845722467486</v>
      </c>
      <c r="R186" s="16" t="n">
        <v>-0.0187906105484985</v>
      </c>
      <c r="S186" s="16" t="n">
        <v>0.0947833888746474</v>
      </c>
      <c r="V186" s="17" t="s">
        <v>51</v>
      </c>
      <c r="W186" s="18" t="n">
        <v>157.88</v>
      </c>
      <c r="X186" s="18" t="n">
        <v>198.39</v>
      </c>
      <c r="Y186" s="16" t="n">
        <f aca="false">IF(AND(ISNUMBER(W186),ISNUMBER(X186)),X186/W186-1,"")</f>
        <v>0.256587281479605</v>
      </c>
      <c r="Z186" s="16" t="n">
        <v>0.28507332912477</v>
      </c>
      <c r="AA186" s="16" t="n">
        <v>0.11805046940542</v>
      </c>
      <c r="AC186" s="16" t="n">
        <f aca="false">IF(AND(ISNUMBER(N186),ISNUMBER(AA186)),N186-AA186,"")</f>
        <v>0.156238174532032</v>
      </c>
    </row>
    <row r="187" customFormat="false" ht="15" hidden="false" customHeight="false" outlineLevel="0" collapsed="false">
      <c r="A187" s="0" t="s">
        <v>583</v>
      </c>
      <c r="B187" s="0" t="s">
        <v>584</v>
      </c>
      <c r="C187" s="0" t="s">
        <v>31</v>
      </c>
      <c r="D187" s="15" t="n">
        <v>15850</v>
      </c>
      <c r="E187" s="15" t="n">
        <v>15231</v>
      </c>
      <c r="F187" s="15" t="n">
        <v>15393</v>
      </c>
      <c r="G187" s="15" t="n">
        <v>15464</v>
      </c>
      <c r="H187" s="15" t="n">
        <v>12492</v>
      </c>
      <c r="N187" s="16" t="n">
        <v>0.268812039705412</v>
      </c>
      <c r="P187" s="16" t="n">
        <v>0.0406407983717418</v>
      </c>
      <c r="Q187" s="16" t="n">
        <v>-0.0105242642759696</v>
      </c>
      <c r="R187" s="16" t="n">
        <v>-0.00459130884635284</v>
      </c>
      <c r="S187" s="16" t="n">
        <v>0.237912263848863</v>
      </c>
      <c r="V187" s="17" t="s">
        <v>51</v>
      </c>
      <c r="W187" s="18" t="n">
        <v>224.34</v>
      </c>
      <c r="X187" s="18" t="n">
        <v>196.1</v>
      </c>
      <c r="Y187" s="16" t="n">
        <f aca="false">IF(AND(ISNUMBER(W187),ISNUMBER(X187)),X187/W187-1,"")</f>
        <v>-0.125880360167603</v>
      </c>
      <c r="Z187" s="16" t="n">
        <v>-0.112293880257575</v>
      </c>
      <c r="AA187" s="16" t="n">
        <v>0.314117399537135</v>
      </c>
      <c r="AB187" s="19" t="s">
        <v>35</v>
      </c>
      <c r="AC187" s="16" t="n">
        <f aca="false">IF(AND(ISNUMBER(N187),ISNUMBER(AA187)),N187-AA187,"")</f>
        <v>-0.045305359831723</v>
      </c>
    </row>
    <row r="188" customFormat="false" ht="15" hidden="false" customHeight="false" outlineLevel="0" collapsed="false">
      <c r="A188" s="0" t="s">
        <v>585</v>
      </c>
      <c r="B188" s="0" t="s">
        <v>586</v>
      </c>
      <c r="C188" s="0" t="s">
        <v>31</v>
      </c>
      <c r="D188" s="15" t="n">
        <v>40867</v>
      </c>
      <c r="E188" s="15" t="n">
        <v>39648</v>
      </c>
      <c r="F188" s="15" t="n">
        <v>32515</v>
      </c>
      <c r="G188" s="15" t="n">
        <v>32649</v>
      </c>
      <c r="H188" s="15" t="n">
        <v>32388</v>
      </c>
      <c r="N188" s="16" t="n">
        <v>0.261794491787082</v>
      </c>
      <c r="P188" s="16" t="n">
        <v>0.0307455609362388</v>
      </c>
      <c r="Q188" s="16" t="n">
        <v>0.219375672766416</v>
      </c>
      <c r="R188" s="16" t="n">
        <v>-0.00410426046739565</v>
      </c>
      <c r="S188" s="16" t="n">
        <v>0.00805854020007413</v>
      </c>
      <c r="V188" s="17" t="s">
        <v>147</v>
      </c>
      <c r="W188" s="18" t="n">
        <v>261.97</v>
      </c>
      <c r="X188" s="18" t="n">
        <v>374.78</v>
      </c>
      <c r="Y188" s="16" t="n">
        <f aca="false">IF(AND(ISNUMBER(W188),ISNUMBER(X188)),X188/W188-1,"")</f>
        <v>0.430621826926747</v>
      </c>
      <c r="Z188" s="16" t="n">
        <v>0.451264923992532</v>
      </c>
      <c r="AA188" s="16" t="n">
        <v>0.0964116452268111</v>
      </c>
      <c r="AC188" s="16" t="n">
        <f aca="false">IF(AND(ISNUMBER(N188),ISNUMBER(AA188)),N188-AA188,"")</f>
        <v>0.16538284656027</v>
      </c>
    </row>
    <row r="189" customFormat="false" ht="15" hidden="false" customHeight="false" outlineLevel="0" collapsed="false">
      <c r="A189" s="0" t="s">
        <v>587</v>
      </c>
      <c r="B189" s="0" t="s">
        <v>588</v>
      </c>
      <c r="C189" s="0" t="s">
        <v>31</v>
      </c>
      <c r="D189" s="15" t="n">
        <v>6398</v>
      </c>
      <c r="E189" s="15" t="n">
        <v>5914</v>
      </c>
      <c r="F189" s="15" t="n">
        <v>5449</v>
      </c>
      <c r="G189" s="15" t="n">
        <v>5745</v>
      </c>
      <c r="H189" s="15" t="n">
        <v>5082</v>
      </c>
      <c r="I189" s="15" t="n">
        <v>682</v>
      </c>
      <c r="J189" s="15" t="n">
        <v>530</v>
      </c>
      <c r="K189" s="15" t="n">
        <v>449</v>
      </c>
      <c r="L189" s="15" t="n">
        <v>536</v>
      </c>
      <c r="M189" s="15" t="n">
        <v>323</v>
      </c>
      <c r="N189" s="16" t="n">
        <v>0.258953168044077</v>
      </c>
      <c r="O189" s="16" t="n">
        <v>1.11145510835913</v>
      </c>
      <c r="P189" s="16" t="n">
        <v>0.0818397024010822</v>
      </c>
      <c r="Q189" s="16" t="n">
        <v>0.0853367590383556</v>
      </c>
      <c r="R189" s="16" t="n">
        <v>-0.0515230635335074</v>
      </c>
      <c r="S189" s="16" t="n">
        <v>0.130460448642267</v>
      </c>
      <c r="V189" s="17" t="s">
        <v>104</v>
      </c>
      <c r="W189" s="18" t="n">
        <v>39.9</v>
      </c>
      <c r="X189" s="18" t="n">
        <v>42.8</v>
      </c>
      <c r="Y189" s="16" t="n">
        <f aca="false">IF(AND(ISNUMBER(W189),ISNUMBER(X189)),X189/W189-1,"")</f>
        <v>0.0726817042606516</v>
      </c>
      <c r="Z189" s="16" t="n">
        <v>0.137897534726385</v>
      </c>
      <c r="AA189" s="16" t="n">
        <v>0.437623762376238</v>
      </c>
      <c r="AB189" s="17" t="s">
        <v>32</v>
      </c>
      <c r="AC189" s="16" t="n">
        <f aca="false">IF(AND(ISNUMBER(N189),ISNUMBER(AA189)),N189-AA189,"")</f>
        <v>-0.178670594332161</v>
      </c>
    </row>
    <row r="190" customFormat="false" ht="15" hidden="false" customHeight="false" outlineLevel="0" collapsed="false">
      <c r="A190" s="0" t="s">
        <v>589</v>
      </c>
      <c r="B190" s="0" t="s">
        <v>590</v>
      </c>
      <c r="C190" s="0" t="s">
        <v>31</v>
      </c>
      <c r="D190" s="15" t="n">
        <v>674.188</v>
      </c>
      <c r="E190" s="15" t="n">
        <v>691.677</v>
      </c>
      <c r="F190" s="15" t="n">
        <v>511.959</v>
      </c>
      <c r="G190" s="15" t="n">
        <v>515.751</v>
      </c>
      <c r="H190" s="15" t="n">
        <v>536.415</v>
      </c>
      <c r="I190" s="15" t="n">
        <v>362.628</v>
      </c>
      <c r="J190" s="15" t="n">
        <v>402.465</v>
      </c>
      <c r="K190" s="15" t="n">
        <v>234.049</v>
      </c>
      <c r="L190" s="15" t="n">
        <v>248.078</v>
      </c>
      <c r="M190" s="15" t="n">
        <v>262.518</v>
      </c>
      <c r="N190" s="16" t="n">
        <v>0.256840319528723</v>
      </c>
      <c r="O190" s="16" t="n">
        <v>0.381345279180856</v>
      </c>
      <c r="P190" s="16" t="n">
        <v>-0.0252849234541557</v>
      </c>
      <c r="Q190" s="16" t="n">
        <v>0.351039829361336</v>
      </c>
      <c r="R190" s="16" t="n">
        <v>-0.0073523851626075</v>
      </c>
      <c r="S190" s="16" t="n">
        <v>-0.0385224126842091</v>
      </c>
      <c r="V190" s="17" t="s">
        <v>34</v>
      </c>
      <c r="W190" s="18" t="n">
        <v>1543.1801</v>
      </c>
      <c r="X190" s="18" t="n">
        <v>879.62</v>
      </c>
      <c r="Y190" s="16" t="n">
        <f aca="false">IF(AND(ISNUMBER(W190),ISNUMBER(X190)),X190/W190-1,"")</f>
        <v>-0.429995241644187</v>
      </c>
      <c r="Z190" s="16" t="n">
        <v>-0.429995227710509</v>
      </c>
      <c r="AA190" s="16" t="n">
        <v>0.197758619534709</v>
      </c>
      <c r="AC190" s="16" t="n">
        <f aca="false">IF(AND(ISNUMBER(N190),ISNUMBER(AA190)),N190-AA190,"")</f>
        <v>0.0590816999940138</v>
      </c>
    </row>
    <row r="191" customFormat="false" ht="15" hidden="false" customHeight="false" outlineLevel="0" collapsed="false">
      <c r="A191" s="0" t="s">
        <v>591</v>
      </c>
      <c r="B191" s="0" t="s">
        <v>592</v>
      </c>
      <c r="C191" s="0" t="s">
        <v>31</v>
      </c>
      <c r="D191" s="15" t="n">
        <v>4003</v>
      </c>
      <c r="E191" s="15" t="n">
        <v>4758</v>
      </c>
      <c r="F191" s="15" t="n">
        <v>3628.2</v>
      </c>
      <c r="G191" s="15" t="n">
        <v>3365.6</v>
      </c>
      <c r="H191" s="15" t="n">
        <v>3222</v>
      </c>
      <c r="I191" s="15" t="n">
        <v>588</v>
      </c>
      <c r="J191" s="15" t="n">
        <v>1218</v>
      </c>
      <c r="K191" s="15" t="n">
        <v>348.1</v>
      </c>
      <c r="L191" s="15" t="n">
        <v>536.6</v>
      </c>
      <c r="M191" s="15" t="n">
        <v>626</v>
      </c>
      <c r="N191" s="16" t="n">
        <v>0.242396027312229</v>
      </c>
      <c r="O191" s="16" t="n">
        <v>-0.060702875399361</v>
      </c>
      <c r="P191" s="16" t="n">
        <v>-0.158680117696511</v>
      </c>
      <c r="Q191" s="16" t="n">
        <v>0.311394079708947</v>
      </c>
      <c r="R191" s="16" t="n">
        <v>0.0780247207035894</v>
      </c>
      <c r="S191" s="16" t="n">
        <v>0.0445685909373059</v>
      </c>
      <c r="V191" s="17" t="s">
        <v>51</v>
      </c>
      <c r="W191" s="18" t="n">
        <v>304.55</v>
      </c>
      <c r="X191" s="18" t="n">
        <v>229.64</v>
      </c>
      <c r="Y191" s="16" t="n">
        <f aca="false">IF(AND(ISNUMBER(W191),ISNUMBER(X191)),X191/W191-1,"")</f>
        <v>-0.245969463142341</v>
      </c>
      <c r="Z191" s="16" t="n">
        <v>-0.237098303626185</v>
      </c>
      <c r="AA191" s="16" t="n">
        <v>0.160481372054479</v>
      </c>
      <c r="AC191" s="16" t="n">
        <f aca="false">IF(AND(ISNUMBER(N191),ISNUMBER(AA191)),N191-AA191,"")</f>
        <v>0.0819146552577498</v>
      </c>
    </row>
    <row r="192" customFormat="false" ht="15" hidden="false" customHeight="false" outlineLevel="0" collapsed="false">
      <c r="A192" s="0" t="s">
        <v>593</v>
      </c>
      <c r="B192" s="0" t="s">
        <v>594</v>
      </c>
      <c r="C192" s="0" t="s">
        <v>31</v>
      </c>
      <c r="D192" s="15" t="n">
        <v>119796</v>
      </c>
      <c r="E192" s="15" t="n">
        <v>109896</v>
      </c>
      <c r="F192" s="15" t="n">
        <v>113829</v>
      </c>
      <c r="G192" s="15" t="n">
        <v>102346</v>
      </c>
      <c r="H192" s="15" t="n">
        <v>96428</v>
      </c>
      <c r="I192" s="15" t="n">
        <v>40770</v>
      </c>
      <c r="J192" s="15" t="n">
        <v>39696</v>
      </c>
      <c r="K192" s="15" t="n">
        <v>35934</v>
      </c>
      <c r="L192" s="15" t="n">
        <v>31228</v>
      </c>
      <c r="M192" s="15" t="n">
        <v>31271</v>
      </c>
      <c r="N192" s="16" t="n">
        <v>0.242336250881487</v>
      </c>
      <c r="O192" s="16" t="n">
        <v>0.303763870678904</v>
      </c>
      <c r="P192" s="16" t="n">
        <v>0.090085171434811</v>
      </c>
      <c r="Q192" s="16" t="n">
        <v>-0.0345518277416125</v>
      </c>
      <c r="R192" s="16" t="n">
        <v>0.112197838704004</v>
      </c>
      <c r="S192" s="16" t="n">
        <v>0.061372215539055</v>
      </c>
      <c r="V192" s="17" t="s">
        <v>76</v>
      </c>
      <c r="W192" s="18" t="n">
        <v>247.14</v>
      </c>
      <c r="X192" s="18" t="n">
        <v>337.83</v>
      </c>
      <c r="Y192" s="16" t="n">
        <f aca="false">IF(AND(ISNUMBER(W192),ISNUMBER(X192)),X192/W192-1,"")</f>
        <v>0.366957999514445</v>
      </c>
      <c r="Z192" s="16" t="n">
        <v>0.370512983521551</v>
      </c>
      <c r="AA192" s="16" t="n">
        <v>0.137900922800972</v>
      </c>
      <c r="AC192" s="16" t="n">
        <f aca="false">IF(AND(ISNUMBER(N192),ISNUMBER(AA192)),N192-AA192,"")</f>
        <v>0.104435328080514</v>
      </c>
    </row>
    <row r="193" customFormat="false" ht="15" hidden="false" customHeight="false" outlineLevel="0" collapsed="false">
      <c r="A193" s="0" t="s">
        <v>595</v>
      </c>
      <c r="B193" s="0" t="s">
        <v>596</v>
      </c>
      <c r="C193" s="0" t="s">
        <v>31</v>
      </c>
      <c r="D193" s="15" t="n">
        <v>119796</v>
      </c>
      <c r="E193" s="15" t="n">
        <v>109896</v>
      </c>
      <c r="F193" s="15" t="n">
        <v>113829</v>
      </c>
      <c r="G193" s="15" t="n">
        <v>102346</v>
      </c>
      <c r="H193" s="15" t="n">
        <v>96428</v>
      </c>
      <c r="I193" s="15" t="n">
        <v>40770</v>
      </c>
      <c r="J193" s="15" t="n">
        <v>39696</v>
      </c>
      <c r="K193" s="15" t="n">
        <v>35934</v>
      </c>
      <c r="L193" s="15" t="n">
        <v>31228</v>
      </c>
      <c r="M193" s="15" t="n">
        <v>31271</v>
      </c>
      <c r="N193" s="16" t="n">
        <v>0.242336250881487</v>
      </c>
      <c r="O193" s="16" t="n">
        <v>0.303763870678904</v>
      </c>
      <c r="P193" s="16" t="n">
        <v>0.090085171434811</v>
      </c>
      <c r="Q193" s="16" t="n">
        <v>-0.0345518277416125</v>
      </c>
      <c r="R193" s="16" t="n">
        <v>0.112197838704004</v>
      </c>
      <c r="S193" s="16" t="n">
        <v>0.061372215539055</v>
      </c>
      <c r="V193" s="17" t="s">
        <v>76</v>
      </c>
      <c r="W193" s="18" t="n">
        <v>247.83</v>
      </c>
      <c r="X193" s="18" t="n">
        <v>334.98</v>
      </c>
      <c r="Y193" s="16" t="n">
        <f aca="false">IF(AND(ISNUMBER(W193),ISNUMBER(X193)),X193/W193-1,"")</f>
        <v>0.351652342331437</v>
      </c>
      <c r="Z193" s="16" t="n">
        <v>0.355180882765626</v>
      </c>
      <c r="AA193" s="16"/>
      <c r="AC193" s="16" t="str">
        <f aca="false">IF(AND(ISNUMBER(N193),ISNUMBER(AA193)),N193-AA193,"")</f>
        <v/>
      </c>
    </row>
    <row r="194" customFormat="false" ht="15" hidden="false" customHeight="false" outlineLevel="0" collapsed="false">
      <c r="A194" s="0" t="s">
        <v>597</v>
      </c>
      <c r="B194" s="0" t="s">
        <v>598</v>
      </c>
      <c r="C194" s="0" t="s">
        <v>31</v>
      </c>
      <c r="D194" s="15" t="n">
        <v>1584.451</v>
      </c>
      <c r="E194" s="15" t="n">
        <v>1474.22</v>
      </c>
      <c r="F194" s="15" t="n">
        <v>1440.114</v>
      </c>
      <c r="G194" s="15" t="n">
        <v>1338.838</v>
      </c>
      <c r="H194" s="15" t="n">
        <v>1275.441</v>
      </c>
      <c r="I194" s="15" t="n">
        <v>449.963</v>
      </c>
      <c r="J194" s="15" t="n">
        <v>431.336</v>
      </c>
      <c r="K194" s="15" t="n">
        <v>465.225</v>
      </c>
      <c r="L194" s="15" t="n">
        <v>452.786</v>
      </c>
      <c r="M194" s="15" t="n">
        <v>370.389</v>
      </c>
      <c r="N194" s="16" t="n">
        <v>0.242276984980097</v>
      </c>
      <c r="O194" s="16" t="n">
        <v>0.214838993598622</v>
      </c>
      <c r="P194" s="16" t="n">
        <v>0.0747724220265631</v>
      </c>
      <c r="Q194" s="16" t="n">
        <v>0.0236828473301418</v>
      </c>
      <c r="R194" s="16" t="n">
        <v>0.0756447008525303</v>
      </c>
      <c r="S194" s="16" t="n">
        <v>0.0497059448457435</v>
      </c>
      <c r="V194" s="17" t="s">
        <v>34</v>
      </c>
      <c r="W194" s="18" t="n">
        <v>356.96</v>
      </c>
      <c r="X194" s="18" t="n">
        <v>309.09</v>
      </c>
      <c r="Y194" s="16" t="n">
        <f aca="false">IF(AND(ISNUMBER(W194),ISNUMBER(X194)),X194/W194-1,"")</f>
        <v>-0.134104661586732</v>
      </c>
      <c r="Z194" s="16" t="n">
        <v>-0.134104651118056</v>
      </c>
      <c r="AA194" s="16" t="n">
        <v>0.202473693787293</v>
      </c>
      <c r="AC194" s="16" t="n">
        <f aca="false">IF(AND(ISNUMBER(N194),ISNUMBER(AA194)),N194-AA194,"")</f>
        <v>0.0398032911928037</v>
      </c>
    </row>
    <row r="195" customFormat="false" ht="15" hidden="false" customHeight="false" outlineLevel="0" collapsed="false">
      <c r="A195" s="0" t="s">
        <v>599</v>
      </c>
      <c r="B195" s="0" t="s">
        <v>600</v>
      </c>
      <c r="C195" s="0" t="s">
        <v>31</v>
      </c>
      <c r="D195" s="15" t="n">
        <v>3987</v>
      </c>
      <c r="E195" s="15" t="n">
        <v>3770</v>
      </c>
      <c r="F195" s="15" t="n">
        <v>3568</v>
      </c>
      <c r="G195" s="15" t="n">
        <v>3407</v>
      </c>
      <c r="H195" s="15" t="n">
        <v>3215</v>
      </c>
      <c r="I195" s="15" t="n">
        <v>162</v>
      </c>
      <c r="J195" s="15" t="n">
        <v>503</v>
      </c>
      <c r="K195" s="15" t="n">
        <v>443</v>
      </c>
      <c r="L195" s="15" t="n">
        <v>572</v>
      </c>
      <c r="M195" s="15" t="n">
        <v>358</v>
      </c>
      <c r="N195" s="16" t="n">
        <v>0.240124416796268</v>
      </c>
      <c r="O195" s="16" t="n">
        <v>-0.547486033519553</v>
      </c>
      <c r="P195" s="16" t="n">
        <v>0.0575596816976127</v>
      </c>
      <c r="Q195" s="16" t="n">
        <v>0.0566143497757847</v>
      </c>
      <c r="R195" s="16" t="n">
        <v>0.0472556501320811</v>
      </c>
      <c r="S195" s="16" t="n">
        <v>0.0597200622083982</v>
      </c>
      <c r="V195" s="17" t="s">
        <v>34</v>
      </c>
      <c r="W195" s="18" t="n">
        <v>186.674</v>
      </c>
      <c r="X195" s="18" t="n">
        <v>140.78</v>
      </c>
      <c r="Y195" s="16" t="n">
        <f aca="false">IF(AND(ISNUMBER(W195),ISNUMBER(X195)),X195/W195-1,"")</f>
        <v>-0.245851055851377</v>
      </c>
      <c r="Z195" s="16" t="n">
        <v>-0.24585104611649</v>
      </c>
      <c r="AA195" s="16" t="n">
        <v>0.223829463266083</v>
      </c>
      <c r="AC195" s="16" t="n">
        <f aca="false">IF(AND(ISNUMBER(N195),ISNUMBER(AA195)),N195-AA195,"")</f>
        <v>0.0162949535301846</v>
      </c>
    </row>
    <row r="196" customFormat="false" ht="15" hidden="false" customHeight="false" outlineLevel="0" collapsed="false">
      <c r="A196" s="0" t="s">
        <v>601</v>
      </c>
      <c r="B196" s="0" t="s">
        <v>602</v>
      </c>
      <c r="C196" s="0" t="s">
        <v>31</v>
      </c>
      <c r="D196" s="15" t="n">
        <v>801.7</v>
      </c>
      <c r="E196" s="15" t="n">
        <v>761.7</v>
      </c>
      <c r="F196" s="15" t="n">
        <v>783.8</v>
      </c>
      <c r="G196" s="15" t="n">
        <v>706.3</v>
      </c>
      <c r="H196" s="15" t="n">
        <v>649.1</v>
      </c>
      <c r="I196" s="15" t="n">
        <v>129.7</v>
      </c>
      <c r="J196" s="15" t="n">
        <v>122.2</v>
      </c>
      <c r="K196" s="15" t="n">
        <v>146.3</v>
      </c>
      <c r="L196" s="15" t="n">
        <v>117.7</v>
      </c>
      <c r="M196" s="15" t="n">
        <v>121.1</v>
      </c>
      <c r="N196" s="16" t="n">
        <v>0.235094746572177</v>
      </c>
      <c r="O196" s="16" t="n">
        <v>0.0710156895127994</v>
      </c>
      <c r="P196" s="16" t="n">
        <v>0.0525141131679139</v>
      </c>
      <c r="Q196" s="16" t="n">
        <v>-0.0281959683592753</v>
      </c>
      <c r="R196" s="16" t="n">
        <v>0.109726745009203</v>
      </c>
      <c r="S196" s="16" t="n">
        <v>0.0881220150978277</v>
      </c>
      <c r="V196" s="17" t="s">
        <v>147</v>
      </c>
      <c r="W196" s="18" t="n">
        <v>326.97</v>
      </c>
      <c r="X196" s="18" t="n">
        <v>136.49</v>
      </c>
      <c r="Y196" s="16" t="n">
        <f aca="false">IF(AND(ISNUMBER(W196),ISNUMBER(X196)),X196/W196-1,"")</f>
        <v>-0.582561091231612</v>
      </c>
      <c r="Z196" s="16" t="n">
        <v>-0.582561075989861</v>
      </c>
      <c r="AA196" s="16" t="n">
        <v>0.328761514841351</v>
      </c>
      <c r="AB196" s="19" t="s">
        <v>35</v>
      </c>
      <c r="AC196" s="16" t="n">
        <f aca="false">IF(AND(ISNUMBER(N196),ISNUMBER(AA196)),N196-AA196,"")</f>
        <v>-0.0936667682691741</v>
      </c>
    </row>
    <row r="197" customFormat="false" ht="15" hidden="false" customHeight="false" outlineLevel="0" collapsed="false">
      <c r="A197" s="0" t="s">
        <v>603</v>
      </c>
      <c r="B197" s="0" t="s">
        <v>604</v>
      </c>
      <c r="C197" s="0" t="s">
        <v>31</v>
      </c>
      <c r="D197" s="15" t="n">
        <v>7504</v>
      </c>
      <c r="E197" s="15" t="n">
        <v>11122</v>
      </c>
      <c r="F197" s="15" t="n">
        <v>6074</v>
      </c>
      <c r="G197" s="15" t="n">
        <v>6570</v>
      </c>
      <c r="H197" s="15" t="n">
        <v>6101</v>
      </c>
      <c r="I197" s="15" t="n">
        <v>-47</v>
      </c>
      <c r="J197" s="15" t="n">
        <v>2266</v>
      </c>
      <c r="K197" s="15" t="n">
        <v>806</v>
      </c>
      <c r="L197" s="15" t="n">
        <v>1459</v>
      </c>
      <c r="M197" s="15" t="n">
        <v>502</v>
      </c>
      <c r="N197" s="16" t="n">
        <v>0.229962301262088</v>
      </c>
      <c r="O197" s="20" t="s">
        <v>153</v>
      </c>
      <c r="P197" s="16" t="n">
        <v>-0.325301204819277</v>
      </c>
      <c r="Q197" s="16" t="n">
        <v>0.831083305893974</v>
      </c>
      <c r="R197" s="16" t="n">
        <v>-0.0754946727549467</v>
      </c>
      <c r="S197" s="16" t="n">
        <v>0.0768726438288805</v>
      </c>
      <c r="V197" s="17" t="s">
        <v>134</v>
      </c>
      <c r="W197" s="18" t="n">
        <v>339.13</v>
      </c>
      <c r="X197" s="18" t="n">
        <v>263.88</v>
      </c>
      <c r="Y197" s="16" t="n">
        <f aca="false">IF(AND(ISNUMBER(W197),ISNUMBER(X197)),X197/W197-1,"")</f>
        <v>-0.221891310117064</v>
      </c>
      <c r="Z197" s="16" t="n">
        <v>-0.217541621507946</v>
      </c>
      <c r="AA197" s="16" t="n">
        <v>0.114337899543379</v>
      </c>
      <c r="AC197" s="16" t="n">
        <f aca="false">IF(AND(ISNUMBER(N197),ISNUMBER(AA197)),N197-AA197,"")</f>
        <v>0.115624401718709</v>
      </c>
    </row>
    <row r="198" customFormat="false" ht="15" hidden="false" customHeight="false" outlineLevel="0" collapsed="false">
      <c r="A198" s="0" t="s">
        <v>605</v>
      </c>
      <c r="B198" s="0" t="s">
        <v>606</v>
      </c>
      <c r="C198" s="0" t="s">
        <v>31</v>
      </c>
      <c r="D198" s="15" t="n">
        <v>10397</v>
      </c>
      <c r="E198" s="15" t="n">
        <v>9496</v>
      </c>
      <c r="F198" s="15" t="n">
        <v>7687</v>
      </c>
      <c r="G198" s="15" t="n">
        <v>8521</v>
      </c>
      <c r="H198" s="15" t="n">
        <v>8456</v>
      </c>
      <c r="I198" s="15" t="n">
        <v>1629</v>
      </c>
      <c r="J198" s="15" t="n">
        <v>1123</v>
      </c>
      <c r="K198" s="15" t="n">
        <v>528</v>
      </c>
      <c r="L198" s="15" t="n">
        <v>888</v>
      </c>
      <c r="M198" s="15" t="n">
        <v>919</v>
      </c>
      <c r="N198" s="16" t="n">
        <v>0.229541154210028</v>
      </c>
      <c r="O198" s="16" t="n">
        <v>0.772578890097933</v>
      </c>
      <c r="P198" s="16" t="n">
        <v>0.0948820556023589</v>
      </c>
      <c r="Q198" s="16" t="n">
        <v>0.235332379341746</v>
      </c>
      <c r="R198" s="16" t="n">
        <v>-0.0978758361694637</v>
      </c>
      <c r="S198" s="16" t="n">
        <v>0.0076868495742668</v>
      </c>
      <c r="V198" s="17" t="s">
        <v>104</v>
      </c>
      <c r="W198" s="18" t="n">
        <v>136.4</v>
      </c>
      <c r="X198" s="18" t="n">
        <v>246.98</v>
      </c>
      <c r="Y198" s="16" t="n">
        <f aca="false">IF(AND(ISNUMBER(W198),ISNUMBER(X198)),X198/W198-1,"")</f>
        <v>0.810703812316715</v>
      </c>
      <c r="Z198" s="16" t="n">
        <v>0.8349682940696</v>
      </c>
      <c r="AA198" s="16" t="n">
        <v>0.0469233626346415</v>
      </c>
      <c r="AC198" s="16" t="n">
        <f aca="false">IF(AND(ISNUMBER(N198),ISNUMBER(AA198)),N198-AA198,"")</f>
        <v>0.182617791575387</v>
      </c>
    </row>
    <row r="199" customFormat="false" ht="15" hidden="false" customHeight="false" outlineLevel="0" collapsed="false">
      <c r="A199" s="0" t="s">
        <v>607</v>
      </c>
      <c r="B199" s="0" t="s">
        <v>608</v>
      </c>
      <c r="C199" s="0" t="s">
        <v>31</v>
      </c>
      <c r="D199" s="15" t="n">
        <v>2741</v>
      </c>
      <c r="E199" s="15" t="n">
        <v>2544</v>
      </c>
      <c r="F199" s="15" t="n">
        <v>2285</v>
      </c>
      <c r="G199" s="15" t="n">
        <v>2437</v>
      </c>
      <c r="H199" s="15" t="n">
        <v>2237</v>
      </c>
      <c r="I199" s="15" t="n">
        <v>1247</v>
      </c>
      <c r="J199" s="15" t="n">
        <v>1187</v>
      </c>
      <c r="K199" s="15" t="n">
        <v>1047</v>
      </c>
      <c r="L199" s="15" t="n">
        <v>1169</v>
      </c>
      <c r="M199" s="15" t="n">
        <v>1045</v>
      </c>
      <c r="N199" s="16" t="n">
        <v>0.225301743406348</v>
      </c>
      <c r="O199" s="16" t="n">
        <v>0.193301435406699</v>
      </c>
      <c r="P199" s="16" t="n">
        <v>0.0774371069182389</v>
      </c>
      <c r="Q199" s="16" t="n">
        <v>0.113347921225383</v>
      </c>
      <c r="R199" s="16" t="n">
        <v>-0.0623717685679114</v>
      </c>
      <c r="S199" s="16" t="n">
        <v>0.0894054537326776</v>
      </c>
      <c r="V199" s="17" t="s">
        <v>47</v>
      </c>
      <c r="W199" s="18" t="n">
        <v>1300</v>
      </c>
      <c r="X199" s="18" t="n">
        <v>1105.28</v>
      </c>
      <c r="Y199" s="16" t="n">
        <f aca="false">IF(AND(ISNUMBER(W199),ISNUMBER(X199)),X199/W199-1,"")</f>
        <v>-0.149784615384615</v>
      </c>
      <c r="Z199" s="16" t="n">
        <v>-0.149784592848558</v>
      </c>
      <c r="AA199" s="16" t="n">
        <v>0.0933528836754642</v>
      </c>
      <c r="AC199" s="16" t="n">
        <f aca="false">IF(AND(ISNUMBER(N199),ISNUMBER(AA199)),N199-AA199,"")</f>
        <v>0.131948859730884</v>
      </c>
    </row>
    <row r="200" customFormat="false" ht="15" hidden="false" customHeight="false" outlineLevel="0" collapsed="false">
      <c r="A200" s="0" t="s">
        <v>609</v>
      </c>
      <c r="B200" s="0" t="s">
        <v>610</v>
      </c>
      <c r="C200" s="0" t="s">
        <v>31</v>
      </c>
      <c r="D200" s="15" t="n">
        <v>1429</v>
      </c>
      <c r="E200" s="15" t="n">
        <v>1315</v>
      </c>
      <c r="F200" s="15" t="n">
        <v>1190</v>
      </c>
      <c r="G200" s="15" t="n">
        <v>1276</v>
      </c>
      <c r="H200" s="15" t="n">
        <v>1170</v>
      </c>
      <c r="I200" s="15" t="n">
        <v>318</v>
      </c>
      <c r="J200" s="15" t="n">
        <v>299</v>
      </c>
      <c r="K200" s="15" t="n">
        <v>241</v>
      </c>
      <c r="L200" s="15" t="n">
        <v>273</v>
      </c>
      <c r="M200" s="15" t="n">
        <v>248</v>
      </c>
      <c r="N200" s="16" t="n">
        <v>0.221367521367522</v>
      </c>
      <c r="O200" s="16" t="n">
        <v>0.282258064516129</v>
      </c>
      <c r="P200" s="16" t="n">
        <v>0.0866920152091255</v>
      </c>
      <c r="Q200" s="16" t="n">
        <v>0.105042016806723</v>
      </c>
      <c r="R200" s="16" t="n">
        <v>-0.067398119122257</v>
      </c>
      <c r="S200" s="16" t="n">
        <v>0.0905982905982905</v>
      </c>
      <c r="V200" s="17" t="s">
        <v>34</v>
      </c>
      <c r="W200" s="18"/>
      <c r="X200" s="18" t="n">
        <v>124.5</v>
      </c>
      <c r="Y200" s="16" t="str">
        <f aca="false">IF(AND(ISNUMBER(W200),ISNUMBER(X200)),X200/W200-1,"")</f>
        <v/>
      </c>
      <c r="Z200" s="16"/>
      <c r="AA200" s="16"/>
      <c r="AC200" s="16" t="str">
        <f aca="false">IF(AND(ISNUMBER(N200),ISNUMBER(AA200)),N200-AA200,"")</f>
        <v/>
      </c>
    </row>
    <row r="201" customFormat="false" ht="15" hidden="false" customHeight="false" outlineLevel="0" collapsed="false">
      <c r="A201" s="0" t="s">
        <v>611</v>
      </c>
      <c r="B201" s="0" t="s">
        <v>612</v>
      </c>
      <c r="C201" s="0" t="s">
        <v>31</v>
      </c>
      <c r="D201" s="15" t="n">
        <v>1729.614</v>
      </c>
      <c r="E201" s="15" t="n">
        <v>1656.944</v>
      </c>
      <c r="F201" s="15" t="n">
        <v>1566.017</v>
      </c>
      <c r="G201" s="15" t="n">
        <v>1488.996</v>
      </c>
      <c r="H201" s="15" t="n">
        <v>1420.893</v>
      </c>
      <c r="I201" s="15" t="n">
        <v>232.289</v>
      </c>
      <c r="J201" s="15" t="n">
        <v>208.363</v>
      </c>
      <c r="K201" s="15" t="n">
        <v>234.89</v>
      </c>
      <c r="L201" s="15" t="n">
        <v>221.521</v>
      </c>
      <c r="M201" s="15" t="n">
        <v>203.422</v>
      </c>
      <c r="N201" s="16" t="n">
        <v>0.217272518057306</v>
      </c>
      <c r="O201" s="16" t="n">
        <v>0.141906971713974</v>
      </c>
      <c r="P201" s="16" t="n">
        <v>0.0438578491487944</v>
      </c>
      <c r="Q201" s="16" t="n">
        <v>0.0580625880817385</v>
      </c>
      <c r="R201" s="16" t="n">
        <v>0.0517268011465444</v>
      </c>
      <c r="S201" s="16" t="n">
        <v>0.0479297174382589</v>
      </c>
      <c r="V201" s="17" t="s">
        <v>535</v>
      </c>
      <c r="W201" s="18" t="n">
        <v>68.48</v>
      </c>
      <c r="X201" s="18" t="n">
        <v>86.64</v>
      </c>
      <c r="Y201" s="16" t="n">
        <f aca="false">IF(AND(ISNUMBER(W201),ISNUMBER(X201)),X201/W201-1,"")</f>
        <v>0.26518691588785</v>
      </c>
      <c r="Z201" s="16" t="n">
        <v>0.297601989490365</v>
      </c>
      <c r="AA201" s="16" t="n">
        <v>0.183111292444504</v>
      </c>
      <c r="AC201" s="16" t="n">
        <f aca="false">IF(AND(ISNUMBER(N201),ISNUMBER(AA201)),N201-AA201,"")</f>
        <v>0.0341612256128026</v>
      </c>
    </row>
    <row r="202" customFormat="false" ht="15" hidden="false" customHeight="false" outlineLevel="0" collapsed="false">
      <c r="A202" s="0" t="s">
        <v>613</v>
      </c>
      <c r="B202" s="0" t="s">
        <v>614</v>
      </c>
      <c r="C202" s="0" t="s">
        <v>31</v>
      </c>
      <c r="D202" s="15" t="n">
        <v>1338.809</v>
      </c>
      <c r="E202" s="15" t="n">
        <v>1260.987</v>
      </c>
      <c r="F202" s="15" t="n">
        <v>1248.226</v>
      </c>
      <c r="G202" s="15" t="n">
        <v>1172.48</v>
      </c>
      <c r="H202" s="15" t="n">
        <v>1102.03</v>
      </c>
      <c r="I202" s="15" t="n">
        <v>471.175</v>
      </c>
      <c r="J202" s="15" t="n">
        <v>514.742</v>
      </c>
      <c r="K202" s="15" t="n">
        <v>522.213</v>
      </c>
      <c r="L202" s="15" t="n">
        <v>523.12</v>
      </c>
      <c r="M202" s="15" t="n">
        <v>479.39</v>
      </c>
      <c r="N202" s="16" t="n">
        <v>0.214857127301435</v>
      </c>
      <c r="O202" s="16" t="n">
        <v>-0.0171363607918397</v>
      </c>
      <c r="P202" s="16" t="n">
        <v>0.0617151485304766</v>
      </c>
      <c r="Q202" s="16" t="n">
        <v>0.0102233089200192</v>
      </c>
      <c r="R202" s="16" t="n">
        <v>0.0646032341703058</v>
      </c>
      <c r="S202" s="16" t="n">
        <v>0.0639274792882227</v>
      </c>
      <c r="V202" s="17" t="s">
        <v>51</v>
      </c>
      <c r="W202" s="18" t="n">
        <v>296.23</v>
      </c>
      <c r="X202" s="18" t="n">
        <v>395.16</v>
      </c>
      <c r="Y202" s="16" t="n">
        <f aca="false">IF(AND(ISNUMBER(W202),ISNUMBER(X202)),X202/W202-1,"")</f>
        <v>0.333963474327381</v>
      </c>
      <c r="Z202" s="16" t="n">
        <v>0.333963437216856</v>
      </c>
      <c r="AA202" s="16" t="n">
        <v>0.129464697502332</v>
      </c>
      <c r="AC202" s="16" t="n">
        <f aca="false">IF(AND(ISNUMBER(N202),ISNUMBER(AA202)),N202-AA202,"")</f>
        <v>0.0853924297991029</v>
      </c>
    </row>
    <row r="203" customFormat="false" ht="15" hidden="false" customHeight="false" outlineLevel="0" collapsed="false">
      <c r="A203" s="0" t="s">
        <v>615</v>
      </c>
      <c r="B203" s="0" t="s">
        <v>616</v>
      </c>
      <c r="C203" s="0" t="s">
        <v>31</v>
      </c>
      <c r="D203" s="15" t="n">
        <v>13348</v>
      </c>
      <c r="E203" s="15" t="n">
        <v>12392</v>
      </c>
      <c r="F203" s="15" t="n">
        <v>12717</v>
      </c>
      <c r="G203" s="15" t="n">
        <v>12181</v>
      </c>
      <c r="H203" s="15" t="n">
        <v>11022</v>
      </c>
      <c r="I203" s="15" t="n">
        <v>2560</v>
      </c>
      <c r="J203" s="15" t="n">
        <v>2322</v>
      </c>
      <c r="K203" s="15" t="n">
        <v>2269</v>
      </c>
      <c r="L203" s="15" t="n">
        <v>2309</v>
      </c>
      <c r="M203" s="15" t="n">
        <v>2099</v>
      </c>
      <c r="N203" s="16" t="n">
        <v>0.211032480493558</v>
      </c>
      <c r="O203" s="16" t="n">
        <v>0.219628394473559</v>
      </c>
      <c r="P203" s="16" t="n">
        <v>0.0771465461588121</v>
      </c>
      <c r="Q203" s="16" t="n">
        <v>-0.0255563419045373</v>
      </c>
      <c r="R203" s="16" t="n">
        <v>0.0440029554223791</v>
      </c>
      <c r="S203" s="16" t="n">
        <v>0.105153329704228</v>
      </c>
      <c r="V203" s="17" t="s">
        <v>47</v>
      </c>
      <c r="W203" s="18" t="n">
        <v>300.3</v>
      </c>
      <c r="X203" s="18" t="n">
        <v>319.8</v>
      </c>
      <c r="Y203" s="16" t="n">
        <f aca="false">IF(AND(ISNUMBER(W203),ISNUMBER(X203)),X203/W203-1,"")</f>
        <v>0.0649350649350649</v>
      </c>
      <c r="Z203" s="16" t="n">
        <v>0.0703432201182574</v>
      </c>
      <c r="AA203" s="16" t="n">
        <v>0.212117879920827</v>
      </c>
      <c r="AB203" s="19" t="s">
        <v>35</v>
      </c>
      <c r="AC203" s="16" t="n">
        <f aca="false">IF(AND(ISNUMBER(N203),ISNUMBER(AA203)),N203-AA203,"")</f>
        <v>-0.0010853994272686</v>
      </c>
    </row>
    <row r="204" customFormat="false" ht="15" hidden="false" customHeight="false" outlineLevel="0" collapsed="false">
      <c r="A204" s="0" t="s">
        <v>617</v>
      </c>
      <c r="B204" s="0" t="s">
        <v>618</v>
      </c>
      <c r="C204" s="0" t="s">
        <v>31</v>
      </c>
      <c r="D204" s="15" t="n">
        <v>7072</v>
      </c>
      <c r="E204" s="15" t="n">
        <v>6482</v>
      </c>
      <c r="F204" s="15" t="n">
        <v>6336</v>
      </c>
      <c r="G204" s="15" t="n">
        <v>6135</v>
      </c>
      <c r="H204" s="15" t="n">
        <v>5851</v>
      </c>
      <c r="N204" s="16" t="n">
        <v>0.208682276533926</v>
      </c>
      <c r="P204" s="16" t="n">
        <v>0.0910212897253935</v>
      </c>
      <c r="Q204" s="16" t="n">
        <v>0.0230429292929293</v>
      </c>
      <c r="R204" s="16" t="n">
        <v>0.032762836185819</v>
      </c>
      <c r="S204" s="16" t="n">
        <v>0.0485387113313964</v>
      </c>
      <c r="V204" s="17" t="s">
        <v>51</v>
      </c>
      <c r="W204" s="18" t="n">
        <v>92.37</v>
      </c>
      <c r="X204" s="18" t="n">
        <v>99.5</v>
      </c>
      <c r="Y204" s="16" t="n">
        <f aca="false">IF(AND(ISNUMBER(W204),ISNUMBER(X204)),X204/W204-1,"")</f>
        <v>0.0771895637111615</v>
      </c>
      <c r="Z204" s="16" t="n">
        <v>0.0909573351245949</v>
      </c>
      <c r="AA204" s="16" t="n">
        <v>0.247547974413646</v>
      </c>
      <c r="AC204" s="16" t="n">
        <f aca="false">IF(AND(ISNUMBER(N204),ISNUMBER(AA204)),N204-AA204,"")</f>
        <v>-0.0388656978797202</v>
      </c>
    </row>
    <row r="205" customFormat="false" ht="15" hidden="false" customHeight="false" outlineLevel="0" collapsed="false">
      <c r="A205" s="0" t="s">
        <v>619</v>
      </c>
      <c r="B205" s="0" t="s">
        <v>620</v>
      </c>
      <c r="C205" s="0" t="s">
        <v>31</v>
      </c>
      <c r="D205" s="15" t="n">
        <v>1825.6</v>
      </c>
      <c r="E205" s="15" t="n">
        <v>1744.5</v>
      </c>
      <c r="F205" s="15" t="n">
        <v>1692</v>
      </c>
      <c r="G205" s="15" t="n">
        <v>1640.4</v>
      </c>
      <c r="H205" s="15" t="n">
        <v>1515.5</v>
      </c>
      <c r="I205" s="15" t="n">
        <v>364.2</v>
      </c>
      <c r="J205" s="15" t="n">
        <v>333.2</v>
      </c>
      <c r="K205" s="15" t="n">
        <v>-1458.1</v>
      </c>
      <c r="L205" s="15" t="n">
        <v>270.9</v>
      </c>
      <c r="M205" s="15" t="n">
        <v>214.2</v>
      </c>
      <c r="N205" s="16" t="n">
        <v>0.204618937644342</v>
      </c>
      <c r="O205" s="16" t="n">
        <v>0.700280112044818</v>
      </c>
      <c r="P205" s="16" t="n">
        <v>0.0464889653195759</v>
      </c>
      <c r="Q205" s="16" t="n">
        <v>0.0310283687943262</v>
      </c>
      <c r="R205" s="16" t="n">
        <v>0.0314557425018289</v>
      </c>
      <c r="S205" s="16" t="n">
        <v>0.0824150445397558</v>
      </c>
      <c r="V205" s="17" t="s">
        <v>51</v>
      </c>
      <c r="W205" s="18" t="n">
        <v>22.18</v>
      </c>
      <c r="X205" s="18" t="n">
        <v>30.74</v>
      </c>
      <c r="Y205" s="16" t="n">
        <f aca="false">IF(AND(ISNUMBER(W205),ISNUMBER(X205)),X205/W205-1,"")</f>
        <v>0.385933273219116</v>
      </c>
      <c r="Z205" s="16" t="n">
        <v>0.429975860093417</v>
      </c>
      <c r="AA205" s="16" t="n">
        <v>0.0217083529966966</v>
      </c>
      <c r="AC205" s="16" t="n">
        <f aca="false">IF(AND(ISNUMBER(N205),ISNUMBER(AA205)),N205-AA205,"")</f>
        <v>0.182910584647645</v>
      </c>
    </row>
    <row r="206" customFormat="false" ht="15" hidden="false" customHeight="false" outlineLevel="0" collapsed="false">
      <c r="A206" s="0" t="s">
        <v>621</v>
      </c>
      <c r="B206" s="0" t="s">
        <v>622</v>
      </c>
      <c r="C206" s="0" t="s">
        <v>31</v>
      </c>
      <c r="D206" s="15" t="n">
        <v>1557</v>
      </c>
      <c r="E206" s="15" t="n">
        <v>1495</v>
      </c>
      <c r="F206" s="15" t="n">
        <v>1475</v>
      </c>
      <c r="G206" s="15" t="n">
        <v>1320</v>
      </c>
      <c r="H206" s="15" t="n">
        <v>1293</v>
      </c>
      <c r="I206" s="15" t="n">
        <v>331</v>
      </c>
      <c r="J206" s="15" t="n">
        <v>224</v>
      </c>
      <c r="K206" s="15" t="n">
        <v>222</v>
      </c>
      <c r="L206" s="15" t="n">
        <v>193</v>
      </c>
      <c r="M206" s="15" t="n">
        <v>187</v>
      </c>
      <c r="N206" s="16" t="n">
        <v>0.204176334106729</v>
      </c>
      <c r="O206" s="16" t="n">
        <v>0.770053475935829</v>
      </c>
      <c r="P206" s="16" t="n">
        <v>0.0414715719063545</v>
      </c>
      <c r="Q206" s="16" t="n">
        <v>0.0135593220338983</v>
      </c>
      <c r="R206" s="16" t="n">
        <v>0.117424242424242</v>
      </c>
      <c r="S206" s="16" t="n">
        <v>0.0208816705336428</v>
      </c>
      <c r="V206" s="17" t="s">
        <v>34</v>
      </c>
      <c r="W206" s="18" t="n">
        <v>308.48</v>
      </c>
      <c r="X206" s="18" t="n">
        <v>371.02</v>
      </c>
      <c r="Y206" s="16" t="n">
        <f aca="false">IF(AND(ISNUMBER(W206),ISNUMBER(X206)),X206/W206-1,"")</f>
        <v>0.202735995850622</v>
      </c>
      <c r="Z206" s="16" t="n">
        <v>0.202735917401519</v>
      </c>
      <c r="AA206" s="16" t="n">
        <v>0.0624486442070666</v>
      </c>
      <c r="AC206" s="16" t="n">
        <f aca="false">IF(AND(ISNUMBER(N206),ISNUMBER(AA206)),N206-AA206,"")</f>
        <v>0.141727689899662</v>
      </c>
    </row>
    <row r="207" customFormat="false" ht="15" hidden="false" customHeight="false" outlineLevel="0" collapsed="false">
      <c r="A207" s="0" t="s">
        <v>623</v>
      </c>
      <c r="B207" s="0" t="s">
        <v>624</v>
      </c>
      <c r="C207" s="0" t="s">
        <v>31</v>
      </c>
      <c r="D207" s="15" t="n">
        <v>2537.473</v>
      </c>
      <c r="E207" s="15" t="n">
        <v>2353.291</v>
      </c>
      <c r="F207" s="15" t="n">
        <v>2131.053</v>
      </c>
      <c r="G207" s="15" t="n">
        <v>2197.139</v>
      </c>
      <c r="H207" s="15" t="n">
        <v>2111.593</v>
      </c>
      <c r="I207" s="15" t="n">
        <v>740.442</v>
      </c>
      <c r="J207" s="15" t="n">
        <v>729.958</v>
      </c>
      <c r="K207" s="15" t="n">
        <v>542.634</v>
      </c>
      <c r="L207" s="15" t="n">
        <v>675.352</v>
      </c>
      <c r="M207" s="15" t="n">
        <v>631.622</v>
      </c>
      <c r="N207" s="16" t="n">
        <v>0.201686593960105</v>
      </c>
      <c r="O207" s="16" t="n">
        <v>0.172286589130841</v>
      </c>
      <c r="P207" s="16" t="n">
        <v>0.078265713844994</v>
      </c>
      <c r="Q207" s="16" t="n">
        <v>0.104285533959033</v>
      </c>
      <c r="R207" s="16" t="n">
        <v>-0.0300782062491267</v>
      </c>
      <c r="S207" s="16" t="n">
        <v>0.0405125419529238</v>
      </c>
      <c r="V207" s="17" t="s">
        <v>84</v>
      </c>
      <c r="W207" s="18" t="n">
        <v>32.465</v>
      </c>
      <c r="X207" s="18" t="n">
        <v>43.91</v>
      </c>
      <c r="Y207" s="16" t="n">
        <f aca="false">IF(AND(ISNUMBER(W207),ISNUMBER(X207)),X207/W207-1,"")</f>
        <v>0.352533497612814</v>
      </c>
      <c r="Z207" s="16" t="n">
        <v>0.352533486555733</v>
      </c>
      <c r="AA207" s="16" t="n">
        <v>0.111015644031849</v>
      </c>
      <c r="AB207" s="19" t="s">
        <v>35</v>
      </c>
      <c r="AC207" s="16" t="n">
        <f aca="false">IF(AND(ISNUMBER(N207),ISNUMBER(AA207)),N207-AA207,"")</f>
        <v>0.0906709499282559</v>
      </c>
    </row>
    <row r="208" customFormat="false" ht="15" hidden="false" customHeight="false" outlineLevel="0" collapsed="false">
      <c r="A208" s="0" t="s">
        <v>625</v>
      </c>
      <c r="B208" s="0" t="s">
        <v>626</v>
      </c>
      <c r="C208" s="0" t="s">
        <v>31</v>
      </c>
      <c r="D208" s="15" t="n">
        <v>3422</v>
      </c>
      <c r="E208" s="15" t="n">
        <v>3180</v>
      </c>
      <c r="F208" s="15" t="n">
        <v>3101</v>
      </c>
      <c r="G208" s="15" t="n">
        <v>3351</v>
      </c>
      <c r="H208" s="15" t="n">
        <v>2855</v>
      </c>
      <c r="I208" s="15" t="n">
        <v>630</v>
      </c>
      <c r="J208" s="15" t="n">
        <v>585</v>
      </c>
      <c r="K208" s="15" t="n">
        <v>513</v>
      </c>
      <c r="L208" s="15" t="n">
        <v>689</v>
      </c>
      <c r="M208" s="15" t="n">
        <v>404</v>
      </c>
      <c r="N208" s="16" t="n">
        <v>0.198598949211909</v>
      </c>
      <c r="O208" s="16" t="n">
        <v>0.55940594059406</v>
      </c>
      <c r="P208" s="16" t="n">
        <v>0.0761006289308177</v>
      </c>
      <c r="Q208" s="16" t="n">
        <v>0.0254756530151563</v>
      </c>
      <c r="R208" s="16" t="n">
        <v>-0.0746045956430916</v>
      </c>
      <c r="S208" s="16" t="n">
        <v>0.173730297723292</v>
      </c>
      <c r="V208" s="17" t="s">
        <v>134</v>
      </c>
      <c r="W208" s="18" t="n">
        <v>13.36</v>
      </c>
      <c r="X208" s="18" t="n">
        <v>14.81</v>
      </c>
      <c r="Y208" s="16" t="n">
        <f aca="false">IF(AND(ISNUMBER(W208),ISNUMBER(X208)),X208/W208-1,"")</f>
        <v>0.108532934131737</v>
      </c>
      <c r="Z208" s="16" t="n">
        <v>0.163716723970461</v>
      </c>
      <c r="AA208" s="16" t="n">
        <v>-0.0295717199184229</v>
      </c>
      <c r="AC208" s="16" t="n">
        <f aca="false">IF(AND(ISNUMBER(N208),ISNUMBER(AA208)),N208-AA208,"")</f>
        <v>0.228170669130332</v>
      </c>
    </row>
    <row r="209" customFormat="false" ht="15" hidden="false" customHeight="false" outlineLevel="0" collapsed="false">
      <c r="A209" s="0" t="s">
        <v>627</v>
      </c>
      <c r="B209" s="0" t="s">
        <v>628</v>
      </c>
      <c r="C209" s="0" t="s">
        <v>31</v>
      </c>
      <c r="D209" s="15" t="n">
        <v>1790.598</v>
      </c>
      <c r="E209" s="15" t="n">
        <v>1757.093</v>
      </c>
      <c r="F209" s="15" t="n">
        <v>1791.462</v>
      </c>
      <c r="G209" s="15" t="n">
        <v>1601.572</v>
      </c>
      <c r="H209" s="15" t="n">
        <v>1498.459</v>
      </c>
      <c r="I209" s="15" t="n">
        <v>824.098</v>
      </c>
      <c r="J209" s="15" t="n">
        <v>762.163</v>
      </c>
      <c r="K209" s="15" t="n">
        <v>890.669</v>
      </c>
      <c r="L209" s="15" t="n">
        <v>812.914</v>
      </c>
      <c r="M209" s="15" t="n">
        <v>744.197</v>
      </c>
      <c r="N209" s="16" t="n">
        <v>0.194959621851516</v>
      </c>
      <c r="O209" s="16" t="n">
        <v>0.107365388465688</v>
      </c>
      <c r="P209" s="16" t="n">
        <v>0.0190684272261059</v>
      </c>
      <c r="Q209" s="16" t="n">
        <v>-0.0191848892133911</v>
      </c>
      <c r="R209" s="16" t="n">
        <v>0.118564760123179</v>
      </c>
      <c r="S209" s="16" t="n">
        <v>0.0688126935738649</v>
      </c>
      <c r="V209" s="17" t="s">
        <v>535</v>
      </c>
      <c r="W209" s="18" t="n">
        <v>183.13</v>
      </c>
      <c r="X209" s="18" t="n">
        <v>204.16</v>
      </c>
      <c r="Y209" s="16" t="n">
        <f aca="false">IF(AND(ISNUMBER(W209),ISNUMBER(X209)),X209/W209-1,"")</f>
        <v>0.114836454977338</v>
      </c>
      <c r="Z209" s="16" t="n">
        <v>0.166485182049849</v>
      </c>
      <c r="AA209" s="16" t="n">
        <v>0.0275621868712568</v>
      </c>
      <c r="AC209" s="16" t="n">
        <f aca="false">IF(AND(ISNUMBER(N209),ISNUMBER(AA209)),N209-AA209,"")</f>
        <v>0.167397434980259</v>
      </c>
    </row>
    <row r="210" customFormat="false" ht="15" hidden="false" customHeight="false" outlineLevel="0" collapsed="false">
      <c r="A210" s="0" t="s">
        <v>629</v>
      </c>
      <c r="B210" s="0" t="s">
        <v>630</v>
      </c>
      <c r="C210" s="0" t="s">
        <v>31</v>
      </c>
      <c r="D210" s="15" t="n">
        <v>3496</v>
      </c>
      <c r="E210" s="15" t="n">
        <v>3181</v>
      </c>
      <c r="F210" s="15" t="n">
        <v>3335</v>
      </c>
      <c r="G210" s="15" t="n">
        <v>3173</v>
      </c>
      <c r="H210" s="15" t="n">
        <v>2926</v>
      </c>
      <c r="I210" s="15" t="n">
        <v>1076</v>
      </c>
      <c r="J210" s="15" t="n">
        <v>884</v>
      </c>
      <c r="K210" s="15" t="n">
        <v>749</v>
      </c>
      <c r="L210" s="15" t="n">
        <v>895</v>
      </c>
      <c r="M210" s="15" t="n">
        <v>686</v>
      </c>
      <c r="N210" s="16" t="n">
        <v>0.194805194805195</v>
      </c>
      <c r="O210" s="16" t="n">
        <v>0.568513119533528</v>
      </c>
      <c r="P210" s="16" t="n">
        <v>0.0990254636906633</v>
      </c>
      <c r="Q210" s="16" t="n">
        <v>-0.0461769115442279</v>
      </c>
      <c r="R210" s="16" t="n">
        <v>0.0510557831705012</v>
      </c>
      <c r="S210" s="16" t="n">
        <v>0.0844155844155845</v>
      </c>
      <c r="V210" s="17" t="s">
        <v>34</v>
      </c>
      <c r="W210" s="18" t="n">
        <v>227.66</v>
      </c>
      <c r="X210" s="18" t="n">
        <v>235.44</v>
      </c>
      <c r="Y210" s="16" t="n">
        <f aca="false">IF(AND(ISNUMBER(W210),ISNUMBER(X210)),X210/W210-1,"")</f>
        <v>0.0341737678994993</v>
      </c>
      <c r="Z210" s="16" t="n">
        <v>0.0524403228435773</v>
      </c>
      <c r="AA210" s="16" t="n">
        <v>-0.0642788615286217</v>
      </c>
      <c r="AC210" s="16" t="n">
        <f aca="false">IF(AND(ISNUMBER(N210),ISNUMBER(AA210)),N210-AA210,"")</f>
        <v>0.259084056333817</v>
      </c>
    </row>
    <row r="211" customFormat="false" ht="15" hidden="false" customHeight="false" outlineLevel="0" collapsed="false">
      <c r="A211" s="0" t="s">
        <v>631</v>
      </c>
      <c r="B211" s="0" t="s">
        <v>632</v>
      </c>
      <c r="C211" s="0" t="s">
        <v>31</v>
      </c>
      <c r="D211" s="15" t="n">
        <v>2892.3</v>
      </c>
      <c r="E211" s="15" t="n">
        <v>2770.8</v>
      </c>
      <c r="F211" s="15" t="n">
        <v>2866.2</v>
      </c>
      <c r="G211" s="15" t="n">
        <v>2505.1</v>
      </c>
      <c r="H211" s="15" t="n">
        <v>2440</v>
      </c>
      <c r="I211" s="15" t="n">
        <v>971.9</v>
      </c>
      <c r="J211" s="15" t="n">
        <v>855.3</v>
      </c>
      <c r="K211" s="15" t="n">
        <v>864.3</v>
      </c>
      <c r="L211" s="15" t="n">
        <v>759.7</v>
      </c>
      <c r="M211" s="15" t="n">
        <v>743.4</v>
      </c>
      <c r="N211" s="16" t="n">
        <v>0.185368852459017</v>
      </c>
      <c r="O211" s="16" t="n">
        <v>0.307371536185096</v>
      </c>
      <c r="P211" s="16" t="n">
        <v>0.043850151580771</v>
      </c>
      <c r="Q211" s="16" t="n">
        <v>-0.0332844881724932</v>
      </c>
      <c r="R211" s="16" t="n">
        <v>0.144145942277753</v>
      </c>
      <c r="S211" s="16" t="n">
        <v>0.0266803278688526</v>
      </c>
      <c r="V211" s="17" t="s">
        <v>147</v>
      </c>
      <c r="W211" s="18" t="n">
        <v>443.99</v>
      </c>
      <c r="X211" s="18" t="n">
        <v>398.3</v>
      </c>
      <c r="Y211" s="16" t="n">
        <f aca="false">IF(AND(ISNUMBER(W211),ISNUMBER(X211)),X211/W211-1,"")</f>
        <v>-0.102907723146918</v>
      </c>
      <c r="Z211" s="16" t="n">
        <v>-0.102907730909175</v>
      </c>
      <c r="AA211" s="16" t="n">
        <v>0.213990745808249</v>
      </c>
      <c r="AC211" s="16" t="n">
        <f aca="false">IF(AND(ISNUMBER(N211),ISNUMBER(AA211)),N211-AA211,"")</f>
        <v>-0.0286218933492326</v>
      </c>
    </row>
    <row r="212" customFormat="false" ht="15" hidden="false" customHeight="false" outlineLevel="0" collapsed="false">
      <c r="A212" s="0" t="s">
        <v>633</v>
      </c>
      <c r="B212" s="0" t="s">
        <v>634</v>
      </c>
      <c r="C212" s="0" t="s">
        <v>31</v>
      </c>
      <c r="D212" s="15" t="n">
        <v>2029.062</v>
      </c>
      <c r="E212" s="15" t="n">
        <v>1936.149</v>
      </c>
      <c r="F212" s="15" t="n">
        <v>1843.167</v>
      </c>
      <c r="G212" s="15" t="n">
        <v>1754.093</v>
      </c>
      <c r="H212" s="15" t="n">
        <v>1711.948</v>
      </c>
      <c r="I212" s="15" t="n">
        <v>386.719</v>
      </c>
      <c r="J212" s="15" t="n">
        <v>405.743</v>
      </c>
      <c r="K212" s="15" t="n">
        <v>404.694</v>
      </c>
      <c r="L212" s="15" t="n">
        <v>364.703</v>
      </c>
      <c r="M212" s="15" t="n">
        <v>314.089</v>
      </c>
      <c r="N212" s="16" t="n">
        <v>0.185235766506927</v>
      </c>
      <c r="O212" s="16" t="n">
        <v>0.231240189882486</v>
      </c>
      <c r="P212" s="16" t="n">
        <v>0.0479885587317919</v>
      </c>
      <c r="Q212" s="16" t="n">
        <v>0.0504468667245019</v>
      </c>
      <c r="R212" s="16" t="n">
        <v>0.0507806598623903</v>
      </c>
      <c r="S212" s="16" t="n">
        <v>0.024618154289733</v>
      </c>
      <c r="V212" s="17" t="s">
        <v>535</v>
      </c>
      <c r="W212" s="18" t="n">
        <v>101.23</v>
      </c>
      <c r="X212" s="18" t="n">
        <v>115.09</v>
      </c>
      <c r="Y212" s="16" t="n">
        <f aca="false">IF(AND(ISNUMBER(W212),ISNUMBER(X212)),X212/W212-1,"")</f>
        <v>0.136915934011657</v>
      </c>
      <c r="Z212" s="16" t="n">
        <v>0.175169666456823</v>
      </c>
      <c r="AA212" s="16" t="n">
        <v>0.115705134680519</v>
      </c>
      <c r="AC212" s="16" t="n">
        <f aca="false">IF(AND(ISNUMBER(N212),ISNUMBER(AA212)),N212-AA212,"")</f>
        <v>0.0695306318264079</v>
      </c>
    </row>
    <row r="213" customFormat="false" ht="15" hidden="false" customHeight="false" outlineLevel="0" collapsed="false">
      <c r="A213" s="0" t="s">
        <v>635</v>
      </c>
      <c r="B213" s="0" t="s">
        <v>636</v>
      </c>
      <c r="C213" s="0" t="s">
        <v>31</v>
      </c>
      <c r="D213" s="15" t="n">
        <v>925</v>
      </c>
      <c r="E213" s="15" t="n">
        <v>897</v>
      </c>
      <c r="F213" s="15" t="n">
        <v>899.9</v>
      </c>
      <c r="G213" s="15" t="n">
        <v>833.6</v>
      </c>
      <c r="H213" s="15" t="n">
        <v>781</v>
      </c>
      <c r="I213" s="15" t="n">
        <v>76</v>
      </c>
      <c r="J213" s="15" t="n">
        <v>3</v>
      </c>
      <c r="K213" s="15" t="n">
        <v>49.1</v>
      </c>
      <c r="L213" s="15" t="n">
        <v>-51.1</v>
      </c>
      <c r="M213" s="15" t="n">
        <v>-27</v>
      </c>
      <c r="N213" s="16" t="n">
        <v>0.18437900128041</v>
      </c>
      <c r="O213" s="20" t="s">
        <v>110</v>
      </c>
      <c r="P213" s="16" t="n">
        <v>0.0312151616499443</v>
      </c>
      <c r="Q213" s="16" t="n">
        <v>-0.00322258028669853</v>
      </c>
      <c r="R213" s="16" t="n">
        <v>0.0795345489443378</v>
      </c>
      <c r="S213" s="16" t="n">
        <v>0.0673495518565941</v>
      </c>
      <c r="V213" s="17" t="s">
        <v>535</v>
      </c>
      <c r="W213" s="18" t="n">
        <v>84.05</v>
      </c>
      <c r="X213" s="18" t="n">
        <v>28.26</v>
      </c>
      <c r="Y213" s="16" t="n">
        <f aca="false">IF(AND(ISNUMBER(W213),ISNUMBER(X213)),X213/W213-1,"")</f>
        <v>-0.663771564544914</v>
      </c>
      <c r="Z213" s="16" t="n">
        <v>-0.663771574029814</v>
      </c>
      <c r="AA213" s="16" t="n">
        <v>0.152699911478312</v>
      </c>
      <c r="AB213" s="17" t="s">
        <v>97</v>
      </c>
      <c r="AC213" s="16" t="n">
        <f aca="false">IF(AND(ISNUMBER(N213),ISNUMBER(AA213)),N213-AA213,"")</f>
        <v>0.0316790898020975</v>
      </c>
    </row>
    <row r="214" customFormat="false" ht="15" hidden="false" customHeight="false" outlineLevel="0" collapsed="false">
      <c r="A214" s="0" t="s">
        <v>637</v>
      </c>
      <c r="B214" s="0" t="s">
        <v>638</v>
      </c>
      <c r="C214" s="0" t="s">
        <v>31</v>
      </c>
      <c r="D214" s="15" t="n">
        <v>1547.078</v>
      </c>
      <c r="E214" s="15" t="n">
        <v>1596.876</v>
      </c>
      <c r="F214" s="15" t="n">
        <v>1037.995</v>
      </c>
      <c r="G214" s="15" t="n">
        <v>1119.914</v>
      </c>
      <c r="H214" s="15" t="n">
        <v>1308.442</v>
      </c>
      <c r="I214" s="15" t="n">
        <v>429.806</v>
      </c>
      <c r="J214" s="15" t="n">
        <v>338.479</v>
      </c>
      <c r="K214" s="15" t="n">
        <v>57.383</v>
      </c>
      <c r="L214" s="15" t="n">
        <v>171.963</v>
      </c>
      <c r="M214" s="15" t="n">
        <v>368.305</v>
      </c>
      <c r="N214" s="16" t="n">
        <v>0.182381794531206</v>
      </c>
      <c r="O214" s="16" t="n">
        <v>0.166983885638262</v>
      </c>
      <c r="P214" s="16" t="n">
        <v>-0.0311846380057061</v>
      </c>
      <c r="Q214" s="16" t="n">
        <v>0.538423595489381</v>
      </c>
      <c r="R214" s="16" t="n">
        <v>-0.0731475809749678</v>
      </c>
      <c r="S214" s="16" t="n">
        <v>-0.144085867008243</v>
      </c>
      <c r="V214" s="17" t="s">
        <v>76</v>
      </c>
      <c r="W214" s="18" t="n">
        <v>195.79</v>
      </c>
      <c r="X214" s="18" t="n">
        <v>189.08</v>
      </c>
      <c r="Y214" s="16" t="n">
        <f aca="false">IF(AND(ISNUMBER(W214),ISNUMBER(X214)),X214/W214-1,"")</f>
        <v>-0.0342714132488891</v>
      </c>
      <c r="Z214" s="16" t="n">
        <v>-0.0189455258139895</v>
      </c>
      <c r="AA214" s="16" t="n">
        <v>0.0965905709982726</v>
      </c>
      <c r="AC214" s="16" t="n">
        <f aca="false">IF(AND(ISNUMBER(N214),ISNUMBER(AA214)),N214-AA214,"")</f>
        <v>0.0857912235329332</v>
      </c>
    </row>
    <row r="215" customFormat="false" ht="15" hidden="false" customHeight="false" outlineLevel="0" collapsed="false">
      <c r="A215" s="0" t="s">
        <v>639</v>
      </c>
      <c r="B215" s="0" t="s">
        <v>640</v>
      </c>
      <c r="C215" s="0" t="s">
        <v>31</v>
      </c>
      <c r="D215" s="15" t="n">
        <v>52852</v>
      </c>
      <c r="E215" s="15" t="n">
        <v>49833</v>
      </c>
      <c r="F215" s="15" t="n">
        <v>45796</v>
      </c>
      <c r="G215" s="15" t="n">
        <v>46430</v>
      </c>
      <c r="H215" s="15" t="n">
        <v>44882</v>
      </c>
      <c r="N215" s="16" t="n">
        <v>0.177576756829018</v>
      </c>
      <c r="P215" s="16" t="n">
        <v>0.0605823450324083</v>
      </c>
      <c r="Q215" s="16" t="n">
        <v>0.0881518036509739</v>
      </c>
      <c r="R215" s="16" t="n">
        <v>-0.0136549644626319</v>
      </c>
      <c r="S215" s="16" t="n">
        <v>0.0344904416024241</v>
      </c>
      <c r="V215" s="17" t="s">
        <v>51</v>
      </c>
      <c r="W215" s="18" t="n">
        <v>313.42</v>
      </c>
      <c r="X215" s="18" t="n">
        <v>337.53</v>
      </c>
      <c r="Y215" s="16" t="n">
        <f aca="false">IF(AND(ISNUMBER(W215),ISNUMBER(X215)),X215/W215-1,"")</f>
        <v>0.0769255312360408</v>
      </c>
      <c r="Z215" s="16" t="n">
        <v>0.0975278247477514</v>
      </c>
      <c r="AA215" s="16" t="n">
        <v>-0.105338645418327</v>
      </c>
      <c r="AC215" s="16" t="n">
        <f aca="false">IF(AND(ISNUMBER(N215),ISNUMBER(AA215)),N215-AA215,"")</f>
        <v>0.282915402247345</v>
      </c>
    </row>
    <row r="216" customFormat="false" ht="15" hidden="false" customHeight="false" outlineLevel="0" collapsed="false">
      <c r="A216" s="0" t="s">
        <v>641</v>
      </c>
      <c r="B216" s="0" t="s">
        <v>642</v>
      </c>
      <c r="C216" s="0" t="s">
        <v>31</v>
      </c>
      <c r="D216" s="15" t="n">
        <v>90007</v>
      </c>
      <c r="E216" s="15" t="n">
        <v>82886</v>
      </c>
      <c r="F216" s="15" t="n">
        <v>81273</v>
      </c>
      <c r="G216" s="15" t="n">
        <v>77673</v>
      </c>
      <c r="H216" s="15" t="n">
        <v>76441</v>
      </c>
      <c r="I216" s="15" t="n">
        <v>40603</v>
      </c>
      <c r="J216" s="15" t="n">
        <v>38398</v>
      </c>
      <c r="K216" s="15" t="n">
        <v>38275</v>
      </c>
      <c r="L216" s="15" t="n">
        <v>37961</v>
      </c>
      <c r="M216" s="15" t="n">
        <v>34323</v>
      </c>
      <c r="N216" s="16" t="n">
        <v>0.177470205779621</v>
      </c>
      <c r="O216" s="16" t="n">
        <v>0.182967689304548</v>
      </c>
      <c r="P216" s="16" t="n">
        <v>0.0859131819607655</v>
      </c>
      <c r="Q216" s="16" t="n">
        <v>0.0198466895524958</v>
      </c>
      <c r="R216" s="16" t="n">
        <v>0.0463481518674442</v>
      </c>
      <c r="S216" s="16" t="n">
        <v>0.0161170052720399</v>
      </c>
      <c r="V216" s="17" t="s">
        <v>34</v>
      </c>
      <c r="W216" s="18" t="n">
        <v>510.15</v>
      </c>
      <c r="X216" s="18" t="n">
        <v>500.59</v>
      </c>
      <c r="Y216" s="16" t="n">
        <f aca="false">IF(AND(ISNUMBER(W216),ISNUMBER(X216)),X216/W216-1,"")</f>
        <v>-0.018739586396158</v>
      </c>
      <c r="Z216" s="16" t="n">
        <v>-0.0106661092138993</v>
      </c>
      <c r="AA216" s="16" t="n">
        <v>0.180975481638265</v>
      </c>
      <c r="AC216" s="16" t="n">
        <f aca="false">IF(AND(ISNUMBER(N216),ISNUMBER(AA216)),N216-AA216,"")</f>
        <v>-0.00350527585864452</v>
      </c>
    </row>
    <row r="217" customFormat="false" ht="15" hidden="false" customHeight="false" outlineLevel="0" collapsed="false">
      <c r="A217" s="0" t="s">
        <v>643</v>
      </c>
      <c r="B217" s="0" t="s">
        <v>644</v>
      </c>
      <c r="C217" s="0" t="s">
        <v>38</v>
      </c>
      <c r="D217" s="15" t="n">
        <v>927.963</v>
      </c>
      <c r="E217" s="15" t="n">
        <v>882.948</v>
      </c>
      <c r="F217" s="15" t="n">
        <v>835.951</v>
      </c>
      <c r="G217" s="15" t="n">
        <v>811.236</v>
      </c>
      <c r="H217" s="15" t="n">
        <v>789.081</v>
      </c>
      <c r="I217" s="15" t="n">
        <v>275.018</v>
      </c>
      <c r="J217" s="15" t="n">
        <v>273.112</v>
      </c>
      <c r="K217" s="15" t="n">
        <v>245.876</v>
      </c>
      <c r="L217" s="15" t="n">
        <v>240.853</v>
      </c>
      <c r="M217" s="15" t="n">
        <v>195.908</v>
      </c>
      <c r="N217" s="16" t="n">
        <v>0.176004744760044</v>
      </c>
      <c r="O217" s="16" t="n">
        <v>0.40381199338465</v>
      </c>
      <c r="P217" s="16" t="n">
        <v>0.0509826173228773</v>
      </c>
      <c r="Q217" s="16" t="n">
        <v>0.0562198023568368</v>
      </c>
      <c r="R217" s="16" t="n">
        <v>0.0304658570379026</v>
      </c>
      <c r="S217" s="16" t="n">
        <v>0.0280769654826312</v>
      </c>
      <c r="V217" s="17" t="s">
        <v>147</v>
      </c>
      <c r="W217" s="18" t="n">
        <v>277.94</v>
      </c>
      <c r="X217" s="18" t="n">
        <v>270.75</v>
      </c>
      <c r="Y217" s="16" t="n">
        <f aca="false">IF(AND(ISNUMBER(W217),ISNUMBER(X217)),X217/W217-1,"")</f>
        <v>-0.025868892566741</v>
      </c>
      <c r="Z217" s="16" t="n">
        <v>-0.025868901123443</v>
      </c>
      <c r="AA217" s="16" t="n">
        <v>0.166967128623845</v>
      </c>
      <c r="AC217" s="16" t="n">
        <f aca="false">IF(AND(ISNUMBER(N217),ISNUMBER(AA217)),N217-AA217,"")</f>
        <v>0.00903761613619891</v>
      </c>
    </row>
    <row r="218" customFormat="false" ht="15" hidden="false" customHeight="false" outlineLevel="0" collapsed="false">
      <c r="A218" s="0" t="s">
        <v>645</v>
      </c>
      <c r="B218" s="0" t="s">
        <v>646</v>
      </c>
      <c r="C218" s="0" t="s">
        <v>31</v>
      </c>
      <c r="D218" s="15" t="n">
        <v>4480</v>
      </c>
      <c r="E218" s="15" t="n">
        <v>5019</v>
      </c>
      <c r="F218" s="15" t="n">
        <v>4093</v>
      </c>
      <c r="G218" s="15" t="n">
        <v>4527</v>
      </c>
      <c r="H218" s="15" t="n">
        <v>3810</v>
      </c>
      <c r="I218" s="15" t="n">
        <v>1223</v>
      </c>
      <c r="J218" s="15" t="n">
        <v>1357</v>
      </c>
      <c r="K218" s="15" t="n">
        <v>1047</v>
      </c>
      <c r="L218" s="15" t="n">
        <v>1469</v>
      </c>
      <c r="M218" s="15" t="n">
        <v>1146</v>
      </c>
      <c r="N218" s="16" t="n">
        <v>0.175853018372703</v>
      </c>
      <c r="O218" s="16" t="n">
        <v>0.0671902268760907</v>
      </c>
      <c r="P218" s="16" t="n">
        <v>-0.107391910739191</v>
      </c>
      <c r="Q218" s="16" t="n">
        <v>0.226239921817738</v>
      </c>
      <c r="R218" s="16" t="n">
        <v>-0.0958692290700243</v>
      </c>
      <c r="S218" s="16" t="n">
        <v>0.188188976377953</v>
      </c>
      <c r="V218" s="17" t="s">
        <v>134</v>
      </c>
      <c r="W218" s="18" t="n">
        <v>61.02</v>
      </c>
      <c r="X218" s="18" t="n">
        <v>61.17</v>
      </c>
      <c r="Y218" s="16" t="n">
        <f aca="false">IF(AND(ISNUMBER(W218),ISNUMBER(X218)),X218/W218-1,"")</f>
        <v>0.00245821042281214</v>
      </c>
      <c r="Z218" s="16" t="n">
        <v>0.0452925504037147</v>
      </c>
      <c r="AA218" s="16" t="n">
        <v>0.0929432013769362</v>
      </c>
      <c r="AC218" s="16" t="n">
        <f aca="false">IF(AND(ISNUMBER(N218),ISNUMBER(AA218)),N218-AA218,"")</f>
        <v>0.0829098169957672</v>
      </c>
    </row>
    <row r="219" customFormat="false" ht="15" hidden="false" customHeight="false" outlineLevel="0" collapsed="false">
      <c r="A219" s="0" t="s">
        <v>647</v>
      </c>
      <c r="B219" s="0" t="s">
        <v>648</v>
      </c>
      <c r="C219" s="0" t="s">
        <v>31</v>
      </c>
      <c r="D219" s="15" t="n">
        <v>3179</v>
      </c>
      <c r="E219" s="15" t="n">
        <v>2950</v>
      </c>
      <c r="F219" s="15" t="n">
        <v>2965</v>
      </c>
      <c r="G219" s="15" t="n">
        <v>2886</v>
      </c>
      <c r="H219" s="15" t="n">
        <v>2706</v>
      </c>
      <c r="I219" s="15" t="n">
        <v>600</v>
      </c>
      <c r="J219" s="15" t="n">
        <v>517</v>
      </c>
      <c r="K219" s="15" t="n">
        <v>356</v>
      </c>
      <c r="L219" s="15" t="n">
        <v>491</v>
      </c>
      <c r="M219" s="15" t="n">
        <v>472</v>
      </c>
      <c r="N219" s="16" t="n">
        <v>0.17479674796748</v>
      </c>
      <c r="O219" s="16" t="n">
        <v>0.271186440677966</v>
      </c>
      <c r="P219" s="16" t="n">
        <v>0.0776271186440678</v>
      </c>
      <c r="Q219" s="16" t="n">
        <v>-0.00505902192242835</v>
      </c>
      <c r="R219" s="16" t="n">
        <v>0.0273735273735274</v>
      </c>
      <c r="S219" s="16" t="n">
        <v>0.0665188470066518</v>
      </c>
      <c r="V219" s="17" t="s">
        <v>47</v>
      </c>
      <c r="W219" s="18" t="n">
        <v>192.31</v>
      </c>
      <c r="X219" s="18" t="n">
        <v>292.22</v>
      </c>
      <c r="Y219" s="16" t="n">
        <f aca="false">IF(AND(ISNUMBER(W219),ISNUMBER(X219)),X219/W219-1,"")</f>
        <v>0.519525765690812</v>
      </c>
      <c r="Z219" s="16" t="n">
        <v>0.526625933109769</v>
      </c>
      <c r="AA219" s="16" t="n">
        <v>0.0234493192133132</v>
      </c>
      <c r="AC219" s="16" t="n">
        <f aca="false">IF(AND(ISNUMBER(N219),ISNUMBER(AA219)),N219-AA219,"")</f>
        <v>0.151347428754167</v>
      </c>
    </row>
    <row r="220" customFormat="false" ht="15" hidden="false" customHeight="false" outlineLevel="0" collapsed="false">
      <c r="A220" s="0" t="s">
        <v>649</v>
      </c>
      <c r="B220" s="0" t="s">
        <v>650</v>
      </c>
      <c r="C220" s="0" t="s">
        <v>65</v>
      </c>
      <c r="D220" s="15" t="n">
        <v>1936.6</v>
      </c>
      <c r="E220" s="15" t="n">
        <v>1873.9</v>
      </c>
      <c r="F220" s="15" t="n">
        <v>1850.4</v>
      </c>
      <c r="G220" s="15" t="n">
        <v>1724.9</v>
      </c>
      <c r="H220" s="15" t="n">
        <v>1659.5</v>
      </c>
      <c r="I220" s="15" t="n">
        <v>336.4</v>
      </c>
      <c r="J220" s="15" t="n">
        <v>252.6</v>
      </c>
      <c r="K220" s="15" t="n">
        <v>315.5</v>
      </c>
      <c r="L220" s="15" t="n">
        <v>292.6</v>
      </c>
      <c r="M220" s="15" t="n">
        <v>258.6</v>
      </c>
      <c r="N220" s="16" t="n">
        <v>0.16697800542332</v>
      </c>
      <c r="O220" s="16" t="n">
        <v>0.300850734725445</v>
      </c>
      <c r="P220" s="16" t="n">
        <v>0.0334596296493943</v>
      </c>
      <c r="Q220" s="16" t="n">
        <v>0.0126999567661046</v>
      </c>
      <c r="R220" s="16" t="n">
        <v>0.0727578410342629</v>
      </c>
      <c r="S220" s="16" t="n">
        <v>0.0394094606809281</v>
      </c>
      <c r="V220" s="17" t="s">
        <v>84</v>
      </c>
      <c r="W220" s="18" t="n">
        <v>65.2</v>
      </c>
      <c r="X220" s="18" t="n">
        <v>49.09</v>
      </c>
      <c r="Y220" s="16" t="n">
        <f aca="false">IF(AND(ISNUMBER(W220),ISNUMBER(X220)),X220/W220-1,"")</f>
        <v>-0.247085889570552</v>
      </c>
      <c r="Z220" s="16" t="n">
        <v>-0.222764894372505</v>
      </c>
      <c r="AA220" s="16" t="n">
        <v>0.00991966893865626</v>
      </c>
      <c r="AC220" s="16" t="n">
        <f aca="false">IF(AND(ISNUMBER(N220),ISNUMBER(AA220)),N220-AA220,"")</f>
        <v>0.157058336484664</v>
      </c>
    </row>
    <row r="221" customFormat="false" ht="15" hidden="false" customHeight="false" outlineLevel="0" collapsed="false">
      <c r="A221" s="0" t="s">
        <v>651</v>
      </c>
      <c r="B221" s="0" t="s">
        <v>652</v>
      </c>
      <c r="C221" s="0" t="s">
        <v>31</v>
      </c>
      <c r="D221" s="15" t="n">
        <v>4505</v>
      </c>
      <c r="E221" s="15" t="n">
        <v>4144</v>
      </c>
      <c r="F221" s="15" t="n">
        <v>4215</v>
      </c>
      <c r="G221" s="15" t="n">
        <v>4100</v>
      </c>
      <c r="H221" s="15" t="n">
        <v>3862</v>
      </c>
      <c r="I221" s="15" t="n">
        <v>698</v>
      </c>
      <c r="J221" s="15" t="n">
        <v>639</v>
      </c>
      <c r="K221" s="15" t="n">
        <v>672</v>
      </c>
      <c r="L221" s="15" t="n">
        <v>589</v>
      </c>
      <c r="M221" s="15" t="n">
        <v>573</v>
      </c>
      <c r="N221" s="16" t="n">
        <v>0.16649404453651</v>
      </c>
      <c r="O221" s="16" t="n">
        <v>0.218150087260035</v>
      </c>
      <c r="P221" s="16" t="n">
        <v>0.0871138996138996</v>
      </c>
      <c r="Q221" s="16" t="n">
        <v>-0.0168446026097272</v>
      </c>
      <c r="R221" s="16" t="n">
        <v>0.0280487804878049</v>
      </c>
      <c r="S221" s="16" t="n">
        <v>0.0616261004660799</v>
      </c>
      <c r="V221" s="17" t="s">
        <v>34</v>
      </c>
      <c r="W221" s="18" t="n">
        <v>79.91</v>
      </c>
      <c r="X221" s="18" t="n">
        <v>154.48</v>
      </c>
      <c r="Y221" s="16" t="n">
        <f aca="false">IF(AND(ISNUMBER(W221),ISNUMBER(X221)),X221/W221-1,"")</f>
        <v>0.933174821674384</v>
      </c>
      <c r="Z221" s="16" t="n">
        <v>0.950033384976597</v>
      </c>
      <c r="AA221" s="16" t="n">
        <v>0.187942171639496</v>
      </c>
      <c r="AB221" s="19" t="s">
        <v>35</v>
      </c>
      <c r="AC221" s="16" t="n">
        <f aca="false">IF(AND(ISNUMBER(N221),ISNUMBER(AA221)),N221-AA221,"")</f>
        <v>-0.0214481271029861</v>
      </c>
    </row>
    <row r="222" customFormat="false" ht="15" hidden="false" customHeight="false" outlineLevel="0" collapsed="false">
      <c r="A222" s="0" t="s">
        <v>653</v>
      </c>
      <c r="B222" s="0" t="s">
        <v>654</v>
      </c>
      <c r="C222" s="0" t="s">
        <v>132</v>
      </c>
      <c r="D222" s="15" t="n">
        <v>181519</v>
      </c>
      <c r="E222" s="15" t="n">
        <v>213386</v>
      </c>
      <c r="F222" s="15" t="n">
        <v>180169</v>
      </c>
      <c r="G222" s="15" t="n">
        <v>167702</v>
      </c>
      <c r="H222" s="15" t="n">
        <v>155667</v>
      </c>
      <c r="I222" s="15" t="n">
        <v>23852</v>
      </c>
      <c r="J222" s="15" t="n">
        <v>24977</v>
      </c>
      <c r="K222" s="15" t="n">
        <v>17422</v>
      </c>
      <c r="L222" s="15" t="n">
        <v>19171</v>
      </c>
      <c r="M222" s="15" t="n">
        <v>18405</v>
      </c>
      <c r="N222" s="16" t="n">
        <v>0.166072449523663</v>
      </c>
      <c r="O222" s="16" t="n">
        <v>0.295952186905732</v>
      </c>
      <c r="P222" s="16" t="n">
        <v>-0.149339694262979</v>
      </c>
      <c r="Q222" s="16" t="n">
        <v>0.184365789897263</v>
      </c>
      <c r="R222" s="16" t="n">
        <v>0.0743401986857641</v>
      </c>
      <c r="S222" s="16" t="n">
        <v>0.0773124682816524</v>
      </c>
      <c r="V222" s="17" t="s">
        <v>43</v>
      </c>
      <c r="W222" s="18" t="n">
        <v>220.21</v>
      </c>
      <c r="X222" s="18" t="n">
        <v>249.27</v>
      </c>
      <c r="Y222" s="16" t="n">
        <f aca="false">IF(AND(ISNUMBER(W222),ISNUMBER(X222)),X222/W222-1,"")</f>
        <v>0.131964942554834</v>
      </c>
      <c r="Z222" s="16" t="n">
        <v>0.131964927444706</v>
      </c>
      <c r="AA222" s="16" t="n">
        <v>0.133297742216696</v>
      </c>
      <c r="AC222" s="16" t="n">
        <f aca="false">IF(AND(ISNUMBER(N222),ISNUMBER(AA222)),N222-AA222,"")</f>
        <v>0.0327747073069668</v>
      </c>
    </row>
    <row r="223" customFormat="false" ht="15" hidden="false" customHeight="false" outlineLevel="0" collapsed="false">
      <c r="A223" s="0" t="s">
        <v>655</v>
      </c>
      <c r="B223" s="0" t="s">
        <v>656</v>
      </c>
      <c r="C223" s="0" t="s">
        <v>31</v>
      </c>
      <c r="D223" s="15" t="n">
        <v>109417</v>
      </c>
      <c r="E223" s="15" t="n">
        <v>111184</v>
      </c>
      <c r="F223" s="15" t="n">
        <v>143756</v>
      </c>
      <c r="G223" s="15" t="n">
        <v>102466</v>
      </c>
      <c r="H223" s="15" t="n">
        <v>94036</v>
      </c>
      <c r="I223" s="15" t="n">
        <v>35695</v>
      </c>
      <c r="J223" s="15" t="n">
        <v>35885</v>
      </c>
      <c r="K223" s="15" t="n">
        <v>50852</v>
      </c>
      <c r="L223" s="15" t="n">
        <v>32427</v>
      </c>
      <c r="M223" s="15" t="n">
        <v>28202</v>
      </c>
      <c r="N223" s="16" t="n">
        <v>0.163565017652814</v>
      </c>
      <c r="O223" s="16" t="n">
        <v>0.265690376569038</v>
      </c>
      <c r="P223" s="16" t="n">
        <v>-0.0158925744711469</v>
      </c>
      <c r="Q223" s="16" t="n">
        <v>-0.226578368902863</v>
      </c>
      <c r="R223" s="16" t="n">
        <v>0.402962934046415</v>
      </c>
      <c r="S223" s="16" t="n">
        <v>0.0896465183546726</v>
      </c>
      <c r="V223" s="17" t="s">
        <v>34</v>
      </c>
      <c r="W223" s="18" t="n">
        <v>252.31</v>
      </c>
      <c r="X223" s="18" t="n">
        <v>337.02</v>
      </c>
      <c r="Y223" s="16" t="n">
        <f aca="false">IF(AND(ISNUMBER(W223),ISNUMBER(X223)),X223/W223-1,"")</f>
        <v>0.335737782886132</v>
      </c>
      <c r="Z223" s="16" t="n">
        <v>0.340671974212802</v>
      </c>
      <c r="AA223" s="16" t="n">
        <v>0.0962845518029309</v>
      </c>
      <c r="AC223" s="16" t="n">
        <f aca="false">IF(AND(ISNUMBER(N223),ISNUMBER(AA223)),N223-AA223,"")</f>
        <v>0.0672804658498829</v>
      </c>
    </row>
    <row r="224" customFormat="false" ht="15" hidden="false" customHeight="false" outlineLevel="0" collapsed="false">
      <c r="A224" s="0" t="s">
        <v>657</v>
      </c>
      <c r="B224" s="0" t="s">
        <v>658</v>
      </c>
      <c r="C224" s="0" t="s">
        <v>31</v>
      </c>
      <c r="D224" s="15" t="n">
        <v>2625</v>
      </c>
      <c r="E224" s="15" t="n">
        <v>2444</v>
      </c>
      <c r="F224" s="15" t="n">
        <v>2420</v>
      </c>
      <c r="G224" s="15" t="n">
        <v>2316</v>
      </c>
      <c r="H224" s="15" t="n">
        <v>2256</v>
      </c>
      <c r="I224" s="15" t="n">
        <v>694</v>
      </c>
      <c r="J224" s="15" t="n">
        <v>573</v>
      </c>
      <c r="K224" s="15" t="n">
        <v>507</v>
      </c>
      <c r="L224" s="15" t="n">
        <v>485</v>
      </c>
      <c r="M224" s="15" t="n">
        <v>500</v>
      </c>
      <c r="N224" s="16" t="n">
        <v>0.163563829787234</v>
      </c>
      <c r="O224" s="16" t="n">
        <v>0.388</v>
      </c>
      <c r="P224" s="16" t="n">
        <v>0.0740589198036006</v>
      </c>
      <c r="Q224" s="16" t="n">
        <v>0.00991735537190075</v>
      </c>
      <c r="R224" s="16" t="n">
        <v>0.0449050086355787</v>
      </c>
      <c r="S224" s="16" t="n">
        <v>0.0265957446808511</v>
      </c>
      <c r="V224" s="17" t="s">
        <v>535</v>
      </c>
      <c r="W224" s="18" t="n">
        <v>789.79</v>
      </c>
      <c r="X224" s="18" t="n">
        <v>1037.66</v>
      </c>
      <c r="Y224" s="16" t="n">
        <f aca="false">IF(AND(ISNUMBER(W224),ISNUMBER(X224)),X224/W224-1,"")</f>
        <v>0.313842920269945</v>
      </c>
      <c r="Z224" s="16" t="n">
        <v>0.341958132318116</v>
      </c>
      <c r="AA224" s="16" t="n">
        <v>0.0449282075034738</v>
      </c>
      <c r="AC224" s="16" t="n">
        <f aca="false">IF(AND(ISNUMBER(N224),ISNUMBER(AA224)),N224-AA224,"")</f>
        <v>0.11863562228376</v>
      </c>
    </row>
    <row r="225" customFormat="false" ht="15" hidden="false" customHeight="false" outlineLevel="0" collapsed="false">
      <c r="A225" s="0" t="s">
        <v>659</v>
      </c>
      <c r="B225" s="0" t="s">
        <v>660</v>
      </c>
      <c r="C225" s="0" t="s">
        <v>132</v>
      </c>
      <c r="D225" s="15" t="n">
        <v>1635.173</v>
      </c>
      <c r="E225" s="15" t="n">
        <v>1634.671</v>
      </c>
      <c r="F225" s="15" t="n">
        <v>1577.234</v>
      </c>
      <c r="G225" s="15" t="n">
        <v>1493.15</v>
      </c>
      <c r="H225" s="15" t="n">
        <v>1407.637</v>
      </c>
      <c r="I225" s="15" t="n">
        <v>282.618</v>
      </c>
      <c r="J225" s="15" t="n">
        <v>227.26</v>
      </c>
      <c r="K225" s="15" t="n">
        <v>224.98</v>
      </c>
      <c r="L225" s="15" t="n">
        <v>234.243</v>
      </c>
      <c r="M225" s="15" t="n">
        <v>235.652</v>
      </c>
      <c r="N225" s="16" t="n">
        <v>0.161643946557245</v>
      </c>
      <c r="O225" s="16" t="n">
        <v>0.199302361108754</v>
      </c>
      <c r="P225" s="16" t="n">
        <v>0.00030709543388241</v>
      </c>
      <c r="Q225" s="16" t="n">
        <v>0.0364162831894317</v>
      </c>
      <c r="R225" s="16" t="n">
        <v>0.0563131634464054</v>
      </c>
      <c r="S225" s="16" t="n">
        <v>0.0607493267085193</v>
      </c>
      <c r="V225" s="17" t="s">
        <v>535</v>
      </c>
      <c r="W225" s="18" t="n">
        <v>172</v>
      </c>
      <c r="X225" s="18" t="n">
        <v>181.45</v>
      </c>
      <c r="Y225" s="16" t="n">
        <f aca="false">IF(AND(ISNUMBER(W225),ISNUMBER(X225)),X225/W225-1,"")</f>
        <v>0.0549418604651162</v>
      </c>
      <c r="Z225" s="16" t="n">
        <v>0.0851551789699669</v>
      </c>
      <c r="AA225" s="16" t="n">
        <v>0.100535176366447</v>
      </c>
      <c r="AC225" s="16" t="n">
        <f aca="false">IF(AND(ISNUMBER(N225),ISNUMBER(AA225)),N225-AA225,"")</f>
        <v>0.061108770190798</v>
      </c>
    </row>
    <row r="226" customFormat="false" ht="15" hidden="false" customHeight="false" outlineLevel="0" collapsed="false">
      <c r="A226" s="0" t="s">
        <v>661</v>
      </c>
      <c r="B226" s="0" t="s">
        <v>662</v>
      </c>
      <c r="C226" s="0" t="s">
        <v>38</v>
      </c>
      <c r="D226" s="15" t="n">
        <v>2046</v>
      </c>
      <c r="E226" s="15" t="n">
        <v>1934</v>
      </c>
      <c r="F226" s="15" t="n">
        <v>1957</v>
      </c>
      <c r="G226" s="15" t="n">
        <v>1853</v>
      </c>
      <c r="H226" s="15" t="n">
        <v>1763</v>
      </c>
      <c r="I226" s="15" t="n">
        <v>598</v>
      </c>
      <c r="J226" s="15" t="n">
        <v>571</v>
      </c>
      <c r="K226" s="15" t="n">
        <v>531</v>
      </c>
      <c r="L226" s="15" t="n">
        <v>475</v>
      </c>
      <c r="M226" s="15" t="n">
        <v>450</v>
      </c>
      <c r="N226" s="16" t="n">
        <v>0.160521837776517</v>
      </c>
      <c r="O226" s="16" t="n">
        <v>0.328888888888889</v>
      </c>
      <c r="P226" s="16" t="n">
        <v>0.0579110651499484</v>
      </c>
      <c r="Q226" s="16" t="n">
        <v>-0.0117526826775677</v>
      </c>
      <c r="R226" s="16" t="n">
        <v>0.0561252023745278</v>
      </c>
      <c r="S226" s="16" t="n">
        <v>0.0510493477027794</v>
      </c>
      <c r="V226" s="17" t="s">
        <v>34</v>
      </c>
      <c r="W226" s="18" t="n">
        <v>323.52</v>
      </c>
      <c r="X226" s="18" t="n">
        <v>217.15</v>
      </c>
      <c r="Y226" s="16" t="n">
        <f aca="false">IF(AND(ISNUMBER(W226),ISNUMBER(X226)),X226/W226-1,"")</f>
        <v>-0.328789564787339</v>
      </c>
      <c r="Z226" s="16" t="n">
        <v>-0.328789560859846</v>
      </c>
      <c r="AA226" s="16" t="n">
        <v>0.171428571428572</v>
      </c>
      <c r="AC226" s="16" t="n">
        <f aca="false">IF(AND(ISNUMBER(N226),ISNUMBER(AA226)),N226-AA226,"")</f>
        <v>-0.0109067336520541</v>
      </c>
    </row>
    <row r="227" customFormat="false" ht="15" hidden="false" customHeight="false" outlineLevel="0" collapsed="false">
      <c r="A227" s="0" t="s">
        <v>663</v>
      </c>
      <c r="B227" s="0" t="s">
        <v>664</v>
      </c>
      <c r="C227" s="0" t="s">
        <v>31</v>
      </c>
      <c r="D227" s="15" t="n">
        <v>3865</v>
      </c>
      <c r="E227" s="15" t="n">
        <v>3796</v>
      </c>
      <c r="F227" s="15" t="n">
        <v>3672</v>
      </c>
      <c r="G227" s="15" t="n">
        <v>3667</v>
      </c>
      <c r="H227" s="15" t="n">
        <v>3342</v>
      </c>
      <c r="N227" s="16" t="n">
        <v>0.156493117893477</v>
      </c>
      <c r="P227" s="16" t="n">
        <v>0.018177028451001</v>
      </c>
      <c r="Q227" s="16" t="n">
        <v>0.0337690631808278</v>
      </c>
      <c r="R227" s="16" t="n">
        <v>0.00136351240796295</v>
      </c>
      <c r="S227" s="16" t="n">
        <v>0.097247157390784</v>
      </c>
      <c r="V227" s="17" t="s">
        <v>51</v>
      </c>
      <c r="W227" s="18" t="n">
        <v>171.91</v>
      </c>
      <c r="X227" s="18" t="n">
        <v>158.23</v>
      </c>
      <c r="Y227" s="16" t="n">
        <f aca="false">IF(AND(ISNUMBER(W227),ISNUMBER(X227)),X227/W227-1,"")</f>
        <v>-0.0795765225990345</v>
      </c>
      <c r="Z227" s="16" t="n">
        <v>-0.0670067446980109</v>
      </c>
      <c r="AA227" s="16" t="n">
        <v>0.0212652844231791</v>
      </c>
      <c r="AC227" s="16" t="n">
        <f aca="false">IF(AND(ISNUMBER(N227),ISNUMBER(AA227)),N227-AA227,"")</f>
        <v>0.135227833470298</v>
      </c>
    </row>
    <row r="228" customFormat="false" ht="15" hidden="false" customHeight="false" outlineLevel="0" collapsed="false">
      <c r="A228" s="0" t="s">
        <v>665</v>
      </c>
      <c r="B228" s="0" t="s">
        <v>666</v>
      </c>
      <c r="C228" s="0" t="s">
        <v>31</v>
      </c>
      <c r="D228" s="15" t="n">
        <v>11226</v>
      </c>
      <c r="E228" s="15" t="n">
        <v>10527</v>
      </c>
      <c r="F228" s="15" t="n">
        <v>11629</v>
      </c>
      <c r="G228" s="15" t="n">
        <v>10258</v>
      </c>
      <c r="H228" s="15" t="n">
        <v>9717</v>
      </c>
      <c r="I228" s="15" t="n">
        <v>360</v>
      </c>
      <c r="J228" s="15" t="n">
        <v>210</v>
      </c>
      <c r="K228" s="15" t="n">
        <v>218</v>
      </c>
      <c r="L228" s="15" t="n">
        <v>445</v>
      </c>
      <c r="M228" s="15" t="n">
        <v>355</v>
      </c>
      <c r="N228" s="16" t="n">
        <v>0.155294844087681</v>
      </c>
      <c r="O228" s="16" t="n">
        <v>0.0140845070422535</v>
      </c>
      <c r="P228" s="16" t="n">
        <v>0.0664006839555429</v>
      </c>
      <c r="Q228" s="16" t="n">
        <v>-0.0947630922693267</v>
      </c>
      <c r="R228" s="16" t="n">
        <v>0.133651783973484</v>
      </c>
      <c r="S228" s="16" t="n">
        <v>0.0556756200473396</v>
      </c>
      <c r="V228" s="17" t="s">
        <v>535</v>
      </c>
      <c r="W228" s="18" t="n">
        <v>157.12</v>
      </c>
      <c r="X228" s="18" t="n">
        <v>136.41</v>
      </c>
      <c r="Y228" s="16" t="n">
        <f aca="false">IF(AND(ISNUMBER(W228),ISNUMBER(X228)),X228/W228-1,"")</f>
        <v>-0.131810081466395</v>
      </c>
      <c r="Z228" s="16" t="n">
        <v>-0.131810031177965</v>
      </c>
      <c r="AA228" s="16" t="n">
        <v>0.162435943272554</v>
      </c>
      <c r="AC228" s="16" t="n">
        <f aca="false">IF(AND(ISNUMBER(N228),ISNUMBER(AA228)),N228-AA228,"")</f>
        <v>-0.00714109918487271</v>
      </c>
    </row>
    <row r="229" customFormat="false" ht="15" hidden="false" customHeight="false" outlineLevel="0" collapsed="false">
      <c r="A229" s="0" t="s">
        <v>667</v>
      </c>
      <c r="B229" s="0" t="s">
        <v>668</v>
      </c>
      <c r="C229" s="0" t="s">
        <v>31</v>
      </c>
      <c r="D229" s="15" t="n">
        <v>2185</v>
      </c>
      <c r="E229" s="15" t="n">
        <v>2079</v>
      </c>
      <c r="F229" s="15" t="n">
        <v>1889</v>
      </c>
      <c r="G229" s="15" t="n">
        <v>2007</v>
      </c>
      <c r="H229" s="15" t="n">
        <v>1898</v>
      </c>
      <c r="I229" s="15" t="n">
        <v>1078</v>
      </c>
      <c r="J229" s="15" t="n">
        <v>949</v>
      </c>
      <c r="K229" s="15" t="n">
        <v>796</v>
      </c>
      <c r="L229" s="15" t="n">
        <v>939</v>
      </c>
      <c r="M229" s="15" t="n">
        <v>846</v>
      </c>
      <c r="N229" s="16" t="n">
        <v>0.151211801896733</v>
      </c>
      <c r="O229" s="16" t="n">
        <v>0.274231678486998</v>
      </c>
      <c r="P229" s="16" t="n">
        <v>0.0509860509860509</v>
      </c>
      <c r="Q229" s="16" t="n">
        <v>0.100582318687136</v>
      </c>
      <c r="R229" s="16" t="n">
        <v>-0.0587942202291978</v>
      </c>
      <c r="S229" s="16" t="n">
        <v>0.0574288724973657</v>
      </c>
      <c r="V229" s="17" t="s">
        <v>51</v>
      </c>
      <c r="W229" s="18" t="n">
        <v>474.8</v>
      </c>
      <c r="X229" s="18" t="n">
        <v>473.85</v>
      </c>
      <c r="Y229" s="16" t="n">
        <f aca="false">IF(AND(ISNUMBER(W229),ISNUMBER(X229)),X229/W229-1,"")</f>
        <v>-0.00200084245998311</v>
      </c>
      <c r="Z229" s="16" t="n">
        <v>0.00665546800341788</v>
      </c>
      <c r="AA229" s="16" t="n">
        <v>0.0445789763346176</v>
      </c>
      <c r="AC229" s="16" t="n">
        <f aca="false">IF(AND(ISNUMBER(N229),ISNUMBER(AA229)),N229-AA229,"")</f>
        <v>0.106632825562116</v>
      </c>
    </row>
    <row r="230" customFormat="false" ht="15" hidden="false" customHeight="false" outlineLevel="0" collapsed="false">
      <c r="A230" s="0" t="s">
        <v>669</v>
      </c>
      <c r="B230" s="0" t="s">
        <v>670</v>
      </c>
      <c r="C230" s="0" t="s">
        <v>31</v>
      </c>
      <c r="D230" s="15" t="n">
        <v>6118</v>
      </c>
      <c r="E230" s="15" t="n">
        <v>7307</v>
      </c>
      <c r="F230" s="15" t="n">
        <v>6818</v>
      </c>
      <c r="G230" s="15" t="n">
        <v>5524</v>
      </c>
      <c r="H230" s="15" t="n">
        <v>5317</v>
      </c>
      <c r="I230" s="15" t="n">
        <v>3155</v>
      </c>
      <c r="J230" s="15" t="n">
        <v>4485</v>
      </c>
      <c r="K230" s="15" t="n">
        <v>3974</v>
      </c>
      <c r="L230" s="15" t="n">
        <v>2616</v>
      </c>
      <c r="M230" s="15" t="n">
        <v>2417</v>
      </c>
      <c r="N230" s="16" t="n">
        <v>0.150648862140305</v>
      </c>
      <c r="O230" s="16" t="n">
        <v>0.305337194869673</v>
      </c>
      <c r="P230" s="16" t="n">
        <v>-0.16272067880115</v>
      </c>
      <c r="Q230" s="16" t="n">
        <v>0.0717219125843356</v>
      </c>
      <c r="R230" s="16" t="n">
        <v>0.234250543084721</v>
      </c>
      <c r="S230" s="16" t="n">
        <v>0.0389317284182811</v>
      </c>
      <c r="V230" s="17" t="s">
        <v>104</v>
      </c>
      <c r="W230" s="18" t="n">
        <v>83.47</v>
      </c>
      <c r="X230" s="18" t="n">
        <v>123.55</v>
      </c>
      <c r="Y230" s="16" t="n">
        <f aca="false">IF(AND(ISNUMBER(W230),ISNUMBER(X230)),X230/W230-1,"")</f>
        <v>0.480172517072002</v>
      </c>
      <c r="Z230" s="16" t="n">
        <v>0.494055449625558</v>
      </c>
      <c r="AA230" s="16" t="n">
        <v>0.207860063607451</v>
      </c>
      <c r="AC230" s="16" t="n">
        <f aca="false">IF(AND(ISNUMBER(N230),ISNUMBER(AA230)),N230-AA230,"")</f>
        <v>-0.0572112014671466</v>
      </c>
    </row>
    <row r="231" customFormat="false" ht="15" hidden="false" customHeight="false" outlineLevel="0" collapsed="false">
      <c r="A231" s="0" t="s">
        <v>671</v>
      </c>
      <c r="B231" s="0" t="s">
        <v>672</v>
      </c>
      <c r="C231" s="0" t="s">
        <v>31</v>
      </c>
      <c r="D231" s="15" t="n">
        <v>2044.397</v>
      </c>
      <c r="E231" s="15" t="n">
        <v>1928.437</v>
      </c>
      <c r="F231" s="15" t="n">
        <v>1998.448</v>
      </c>
      <c r="G231" s="15" t="n">
        <v>1892.641</v>
      </c>
      <c r="H231" s="15" t="n">
        <v>1778.056</v>
      </c>
      <c r="I231" s="15" t="n">
        <v>528.193</v>
      </c>
      <c r="J231" s="15" t="n">
        <v>514.936</v>
      </c>
      <c r="K231" s="15" t="n">
        <v>505.482</v>
      </c>
      <c r="L231" s="15" t="n">
        <v>488.38</v>
      </c>
      <c r="M231" s="15" t="n">
        <v>461.626</v>
      </c>
      <c r="N231" s="16" t="n">
        <v>0.14979336983762</v>
      </c>
      <c r="O231" s="16" t="n">
        <v>0.144201149848579</v>
      </c>
      <c r="P231" s="16" t="n">
        <v>0.0601315988025535</v>
      </c>
      <c r="Q231" s="16" t="n">
        <v>-0.0350326853638423</v>
      </c>
      <c r="R231" s="16" t="n">
        <v>0.0559044213878912</v>
      </c>
      <c r="S231" s="16" t="n">
        <v>0.0644439770175969</v>
      </c>
      <c r="V231" s="17" t="s">
        <v>47</v>
      </c>
      <c r="W231" s="18" t="n">
        <v>186.17</v>
      </c>
      <c r="X231" s="18" t="n">
        <v>246.45</v>
      </c>
      <c r="Y231" s="16" t="n">
        <f aca="false">IF(AND(ISNUMBER(W231),ISNUMBER(X231)),X231/W231-1,"")</f>
        <v>0.323790084331525</v>
      </c>
      <c r="Z231" s="16" t="n">
        <v>0.331887290995659</v>
      </c>
      <c r="AA231" s="16" t="n">
        <v>0.0249141992836202</v>
      </c>
      <c r="AC231" s="16" t="n">
        <f aca="false">IF(AND(ISNUMBER(N231),ISNUMBER(AA231)),N231-AA231,"")</f>
        <v>0.124879170554</v>
      </c>
    </row>
    <row r="232" customFormat="false" ht="15" hidden="false" customHeight="false" outlineLevel="0" collapsed="false">
      <c r="A232" s="0" t="s">
        <v>673</v>
      </c>
      <c r="B232" s="0" t="s">
        <v>674</v>
      </c>
      <c r="C232" s="0" t="s">
        <v>31</v>
      </c>
      <c r="D232" s="15" t="n">
        <v>3134</v>
      </c>
      <c r="E232" s="15" t="n">
        <v>3089</v>
      </c>
      <c r="F232" s="15" t="n">
        <v>2965</v>
      </c>
      <c r="G232" s="15" t="n">
        <v>2820</v>
      </c>
      <c r="H232" s="15" t="n">
        <v>2730</v>
      </c>
      <c r="I232" s="15" t="n">
        <v>676</v>
      </c>
      <c r="J232" s="15" t="n">
        <v>611</v>
      </c>
      <c r="K232" s="15" t="n">
        <v>601</v>
      </c>
      <c r="L232" s="15" t="n">
        <v>576</v>
      </c>
      <c r="M232" s="15" t="n">
        <v>479</v>
      </c>
      <c r="N232" s="16" t="n">
        <v>0.147985347985348</v>
      </c>
      <c r="O232" s="16" t="n">
        <v>0.411273486430063</v>
      </c>
      <c r="P232" s="16" t="n">
        <v>0.014567821301392</v>
      </c>
      <c r="Q232" s="16" t="n">
        <v>0.0418212478920743</v>
      </c>
      <c r="R232" s="16" t="n">
        <v>0.051418439716312</v>
      </c>
      <c r="S232" s="16" t="n">
        <v>0.0329670329670331</v>
      </c>
      <c r="V232" s="17" t="s">
        <v>43</v>
      </c>
      <c r="W232" s="18" t="n">
        <v>93.36</v>
      </c>
      <c r="X232" s="18" t="n">
        <v>109.09</v>
      </c>
      <c r="Y232" s="16" t="n">
        <f aca="false">IF(AND(ISNUMBER(W232),ISNUMBER(X232)),X232/W232-1,"")</f>
        <v>0.168487574978578</v>
      </c>
      <c r="Z232" s="16" t="n">
        <v>0.183378689450163</v>
      </c>
      <c r="AA232" s="16" t="n">
        <v>0.0614307931570761</v>
      </c>
      <c r="AC232" s="16" t="n">
        <f aca="false">IF(AND(ISNUMBER(N232),ISNUMBER(AA232)),N232-AA232,"")</f>
        <v>0.0865545548282718</v>
      </c>
    </row>
    <row r="233" customFormat="false" ht="15" hidden="false" customHeight="false" outlineLevel="0" collapsed="false">
      <c r="A233" s="0" t="s">
        <v>675</v>
      </c>
      <c r="B233" s="0" t="s">
        <v>676</v>
      </c>
      <c r="C233" s="0" t="s">
        <v>31</v>
      </c>
      <c r="D233" s="15" t="n">
        <v>2386.9</v>
      </c>
      <c r="E233" s="15" t="n">
        <v>2201.7</v>
      </c>
      <c r="F233" s="15" t="n">
        <v>2027.4</v>
      </c>
      <c r="G233" s="15" t="n">
        <v>2133.3</v>
      </c>
      <c r="H233" s="15" t="n">
        <v>2080.3</v>
      </c>
      <c r="I233" s="15" t="n">
        <v>501.8</v>
      </c>
      <c r="J233" s="15" t="n">
        <v>447.6</v>
      </c>
      <c r="K233" s="15" t="n">
        <v>384.3</v>
      </c>
      <c r="L233" s="15" t="n">
        <v>441.5</v>
      </c>
      <c r="M233" s="15" t="n">
        <v>436.1</v>
      </c>
      <c r="N233" s="16" t="n">
        <v>0.147382589049656</v>
      </c>
      <c r="O233" s="16" t="n">
        <v>0.1506535198349</v>
      </c>
      <c r="P233" s="16" t="n">
        <v>0.0841168188218195</v>
      </c>
      <c r="Q233" s="16" t="n">
        <v>0.0859721811186742</v>
      </c>
      <c r="R233" s="16" t="n">
        <v>-0.0496414006468852</v>
      </c>
      <c r="S233" s="16" t="n">
        <v>0.0254770946498102</v>
      </c>
      <c r="V233" s="17" t="s">
        <v>47</v>
      </c>
      <c r="W233" s="18" t="n">
        <v>47.54</v>
      </c>
      <c r="X233" s="18" t="n">
        <v>50.99</v>
      </c>
      <c r="Y233" s="16" t="n">
        <f aca="false">IF(AND(ISNUMBER(W233),ISNUMBER(X233)),X233/W233-1,"")</f>
        <v>0.0725704669751788</v>
      </c>
      <c r="Z233" s="16" t="n">
        <v>0.0958686445454626</v>
      </c>
      <c r="AA233" s="16" t="n">
        <v>0.0856382423546602</v>
      </c>
      <c r="AC233" s="16" t="n">
        <f aca="false">IF(AND(ISNUMBER(N233),ISNUMBER(AA233)),N233-AA233,"")</f>
        <v>0.0617443466949961</v>
      </c>
    </row>
    <row r="234" customFormat="false" ht="15" hidden="false" customHeight="false" outlineLevel="0" collapsed="false">
      <c r="A234" s="0" t="s">
        <v>677</v>
      </c>
      <c r="B234" s="0" t="s">
        <v>678</v>
      </c>
      <c r="C234" s="0" t="s">
        <v>31</v>
      </c>
      <c r="D234" s="15" t="n">
        <v>2489.9</v>
      </c>
      <c r="E234" s="15" t="n">
        <v>2367.8</v>
      </c>
      <c r="F234" s="15" t="n">
        <v>2363.6</v>
      </c>
      <c r="G234" s="15" t="n">
        <v>2313.4</v>
      </c>
      <c r="H234" s="15" t="n">
        <v>2171.3</v>
      </c>
      <c r="I234" s="15" t="n">
        <v>333.2</v>
      </c>
      <c r="J234" s="15" t="n">
        <v>272.6</v>
      </c>
      <c r="K234" s="15" t="n">
        <v>282.2</v>
      </c>
      <c r="L234" s="15" t="n">
        <v>350</v>
      </c>
      <c r="M234" s="15" t="n">
        <v>329.8</v>
      </c>
      <c r="N234" s="16" t="n">
        <v>0.146732372311518</v>
      </c>
      <c r="O234" s="16" t="n">
        <v>0.0103092783505154</v>
      </c>
      <c r="P234" s="16" t="n">
        <v>0.0515668553087254</v>
      </c>
      <c r="Q234" s="16" t="n">
        <v>0.00177695041462167</v>
      </c>
      <c r="R234" s="16" t="n">
        <v>0.0216996628339241</v>
      </c>
      <c r="S234" s="16" t="n">
        <v>0.065444664486713</v>
      </c>
      <c r="V234" s="17" t="s">
        <v>104</v>
      </c>
      <c r="W234" s="18" t="n">
        <v>215.32</v>
      </c>
      <c r="X234" s="18" t="n">
        <v>240.98</v>
      </c>
      <c r="Y234" s="16" t="n">
        <f aca="false">IF(AND(ISNUMBER(W234),ISNUMBER(X234)),X234/W234-1,"")</f>
        <v>0.119171465725432</v>
      </c>
      <c r="Z234" s="16" t="n">
        <v>0.147522455098522</v>
      </c>
      <c r="AA234" s="16" t="n">
        <v>0.0462583722835253</v>
      </c>
      <c r="AC234" s="16" t="n">
        <f aca="false">IF(AND(ISNUMBER(N234),ISNUMBER(AA234)),N234-AA234,"")</f>
        <v>0.100474000027993</v>
      </c>
    </row>
    <row r="235" customFormat="false" ht="15" hidden="false" customHeight="false" outlineLevel="0" collapsed="false">
      <c r="A235" s="0" t="s">
        <v>679</v>
      </c>
      <c r="B235" s="0" t="s">
        <v>680</v>
      </c>
      <c r="C235" s="0" t="s">
        <v>31</v>
      </c>
      <c r="D235" s="15" t="n">
        <v>11633</v>
      </c>
      <c r="E235" s="15" t="n">
        <v>11230</v>
      </c>
      <c r="F235" s="15" t="n">
        <v>10901</v>
      </c>
      <c r="G235" s="15" t="n">
        <v>10724</v>
      </c>
      <c r="H235" s="15" t="n">
        <v>10172</v>
      </c>
      <c r="I235" s="15" t="n">
        <v>7130</v>
      </c>
      <c r="J235" s="15" t="n">
        <v>7563</v>
      </c>
      <c r="K235" s="15" t="n">
        <v>7445</v>
      </c>
      <c r="L235" s="15" t="n">
        <v>7051</v>
      </c>
      <c r="M235" s="15" t="n">
        <v>6792</v>
      </c>
      <c r="N235" s="16" t="n">
        <v>0.143629571372395</v>
      </c>
      <c r="O235" s="16" t="n">
        <v>0.0497644287396937</v>
      </c>
      <c r="P235" s="16" t="n">
        <v>0.035886019590383</v>
      </c>
      <c r="Q235" s="16" t="n">
        <v>0.0301807173653794</v>
      </c>
      <c r="R235" s="16" t="n">
        <v>0.0165050354345393</v>
      </c>
      <c r="S235" s="16" t="n">
        <v>0.0542666142351553</v>
      </c>
      <c r="V235" s="17" t="s">
        <v>51</v>
      </c>
      <c r="W235" s="18" t="n">
        <v>338.68</v>
      </c>
      <c r="X235" s="18" t="n">
        <v>361.52</v>
      </c>
      <c r="Y235" s="16" t="n">
        <f aca="false">IF(AND(ISNUMBER(W235),ISNUMBER(X235)),X235/W235-1,"")</f>
        <v>0.067438289831109</v>
      </c>
      <c r="Z235" s="16" t="n">
        <v>0.0759752162933907</v>
      </c>
      <c r="AA235" s="16" t="n">
        <v>0.142921348314607</v>
      </c>
      <c r="AC235" s="16" t="n">
        <f aca="false">IF(AND(ISNUMBER(N235),ISNUMBER(AA235)),N235-AA235,"")</f>
        <v>0.000708223057787921</v>
      </c>
    </row>
    <row r="236" customFormat="false" ht="15" hidden="false" customHeight="false" outlineLevel="0" collapsed="false">
      <c r="A236" s="0" t="s">
        <v>681</v>
      </c>
      <c r="B236" s="0" t="s">
        <v>682</v>
      </c>
      <c r="C236" s="0" t="s">
        <v>31</v>
      </c>
      <c r="D236" s="15" t="n">
        <v>24765</v>
      </c>
      <c r="E236" s="15" t="n">
        <v>24663</v>
      </c>
      <c r="F236" s="15" t="n">
        <v>19670</v>
      </c>
      <c r="G236" s="15" t="n">
        <v>22095</v>
      </c>
      <c r="H236" s="15" t="n">
        <v>21661</v>
      </c>
      <c r="N236" s="16" t="n">
        <v>0.143299016665897</v>
      </c>
      <c r="P236" s="16" t="n">
        <v>0.00413574990877019</v>
      </c>
      <c r="Q236" s="16" t="n">
        <v>0.253838332486019</v>
      </c>
      <c r="R236" s="16" t="n">
        <v>-0.109753337859244</v>
      </c>
      <c r="S236" s="16" t="n">
        <v>0.0200360094178478</v>
      </c>
      <c r="V236" s="17" t="s">
        <v>51</v>
      </c>
      <c r="W236" s="18" t="n">
        <v>101.65</v>
      </c>
      <c r="X236" s="18" t="n">
        <v>131.93</v>
      </c>
      <c r="Y236" s="16" t="n">
        <f aca="false">IF(AND(ISNUMBER(W236),ISNUMBER(X236)),X236/W236-1,"")</f>
        <v>0.297884899163797</v>
      </c>
      <c r="Z236" s="16" t="n">
        <v>0.325341275419808</v>
      </c>
      <c r="AA236" s="16" t="n">
        <v>0.0816693290734825</v>
      </c>
      <c r="AC236" s="16" t="n">
        <f aca="false">IF(AND(ISNUMBER(N236),ISNUMBER(AA236)),N236-AA236,"")</f>
        <v>0.0616296875924147</v>
      </c>
    </row>
    <row r="237" customFormat="false" ht="15" hidden="false" customHeight="false" outlineLevel="0" collapsed="false">
      <c r="A237" s="0" t="s">
        <v>683</v>
      </c>
      <c r="B237" s="0" t="s">
        <v>684</v>
      </c>
      <c r="C237" s="0" t="s">
        <v>31</v>
      </c>
      <c r="D237" s="15" t="n">
        <v>2358.4</v>
      </c>
      <c r="E237" s="15" t="n">
        <v>2294.9</v>
      </c>
      <c r="F237" s="15" t="n">
        <v>2327.1</v>
      </c>
      <c r="G237" s="15" t="n">
        <v>2343.7</v>
      </c>
      <c r="H237" s="15" t="n">
        <v>2064</v>
      </c>
      <c r="I237" s="15" t="n">
        <v>228.9</v>
      </c>
      <c r="J237" s="15" t="n">
        <v>365.4</v>
      </c>
      <c r="K237" s="15" t="n">
        <v>368.5</v>
      </c>
      <c r="L237" s="15" t="n">
        <v>340.9</v>
      </c>
      <c r="M237" s="15" t="n">
        <v>204.1</v>
      </c>
      <c r="N237" s="16" t="n">
        <v>0.142635658914729</v>
      </c>
      <c r="O237" s="16" t="n">
        <v>0.121509064184223</v>
      </c>
      <c r="P237" s="16" t="n">
        <v>0.0276700509826136</v>
      </c>
      <c r="Q237" s="16" t="n">
        <v>-0.0138369644622062</v>
      </c>
      <c r="R237" s="16" t="n">
        <v>-0.00708281776677899</v>
      </c>
      <c r="S237" s="16" t="n">
        <v>0.135513565891473</v>
      </c>
      <c r="V237" s="17" t="s">
        <v>51</v>
      </c>
      <c r="W237" s="18" t="n">
        <v>23.58</v>
      </c>
      <c r="X237" s="18" t="n">
        <v>32.71</v>
      </c>
      <c r="Y237" s="16" t="n">
        <f aca="false">IF(AND(ISNUMBER(W237),ISNUMBER(X237)),X237/W237-1,"")</f>
        <v>0.387192536047498</v>
      </c>
      <c r="Z237" s="16" t="n">
        <v>0.461104762891439</v>
      </c>
      <c r="AA237" s="16" t="n">
        <v>-0.0277450657119978</v>
      </c>
      <c r="AC237" s="16" t="n">
        <f aca="false">IF(AND(ISNUMBER(N237),ISNUMBER(AA237)),N237-AA237,"")</f>
        <v>0.170380724626726</v>
      </c>
    </row>
    <row r="238" customFormat="false" ht="15" hidden="false" customHeight="false" outlineLevel="0" collapsed="false">
      <c r="A238" s="0" t="s">
        <v>685</v>
      </c>
      <c r="B238" s="0" t="s">
        <v>686</v>
      </c>
      <c r="C238" s="0" t="s">
        <v>31</v>
      </c>
      <c r="D238" s="15" t="n">
        <v>1959.8</v>
      </c>
      <c r="E238" s="15" t="n">
        <v>1978.7</v>
      </c>
      <c r="F238" s="15" t="n">
        <v>2406</v>
      </c>
      <c r="G238" s="15" t="n">
        <v>2010.7</v>
      </c>
      <c r="H238" s="15" t="n">
        <v>1719.1</v>
      </c>
      <c r="I238" s="15" t="n">
        <v>367.2</v>
      </c>
      <c r="J238" s="15" t="n">
        <v>218.3</v>
      </c>
      <c r="K238" s="15" t="n">
        <v>503.1</v>
      </c>
      <c r="L238" s="15" t="n">
        <v>283</v>
      </c>
      <c r="M238" s="15" t="n">
        <v>292.9</v>
      </c>
      <c r="N238" s="16" t="n">
        <v>0.140015124192892</v>
      </c>
      <c r="O238" s="16" t="n">
        <v>0.253670194605667</v>
      </c>
      <c r="P238" s="16" t="n">
        <v>-0.00955172588062869</v>
      </c>
      <c r="Q238" s="16" t="n">
        <v>-0.177597672485453</v>
      </c>
      <c r="R238" s="16" t="n">
        <v>0.196598199631969</v>
      </c>
      <c r="S238" s="16" t="n">
        <v>0.169623640276889</v>
      </c>
      <c r="V238" s="17" t="s">
        <v>43</v>
      </c>
      <c r="W238" s="18" t="n">
        <v>312.01</v>
      </c>
      <c r="X238" s="18" t="n">
        <v>337.47</v>
      </c>
      <c r="Y238" s="16" t="n">
        <f aca="false">IF(AND(ISNUMBER(W238),ISNUMBER(X238)),X238/W238-1,"")</f>
        <v>0.0815999487195924</v>
      </c>
      <c r="Z238" s="16" t="n">
        <v>0.0932669503225805</v>
      </c>
      <c r="AA238" s="16" t="n">
        <v>0.136820526385399</v>
      </c>
      <c r="AC238" s="16" t="n">
        <f aca="false">IF(AND(ISNUMBER(N238),ISNUMBER(AA238)),N238-AA238,"")</f>
        <v>0.00319459780749271</v>
      </c>
    </row>
    <row r="239" customFormat="false" ht="15" hidden="false" customHeight="false" outlineLevel="0" collapsed="false">
      <c r="A239" s="0" t="s">
        <v>687</v>
      </c>
      <c r="B239" s="0" t="s">
        <v>688</v>
      </c>
      <c r="C239" s="0" t="s">
        <v>132</v>
      </c>
      <c r="D239" s="15" t="n">
        <v>22217</v>
      </c>
      <c r="E239" s="15" t="n">
        <v>23948</v>
      </c>
      <c r="F239" s="15" t="n">
        <v>23270</v>
      </c>
      <c r="G239" s="15" t="n">
        <v>22749</v>
      </c>
      <c r="H239" s="15" t="n">
        <v>19496</v>
      </c>
      <c r="I239" s="15" t="n">
        <v>446</v>
      </c>
      <c r="J239" s="15" t="n">
        <v>-815</v>
      </c>
      <c r="K239" s="15" t="n">
        <v>-4794</v>
      </c>
      <c r="L239" s="15" t="n">
        <v>-268</v>
      </c>
      <c r="M239" s="15" t="n">
        <v>461</v>
      </c>
      <c r="N239" s="16" t="n">
        <v>0.139567090685269</v>
      </c>
      <c r="O239" s="16" t="n">
        <v>-0.0325379609544468</v>
      </c>
      <c r="P239" s="16" t="n">
        <v>-0.0722816101553365</v>
      </c>
      <c r="Q239" s="16" t="n">
        <v>0.02913622690159</v>
      </c>
      <c r="R239" s="16" t="n">
        <v>0.0229021055870589</v>
      </c>
      <c r="S239" s="16" t="n">
        <v>0.16685473943373</v>
      </c>
      <c r="V239" s="17" t="s">
        <v>47</v>
      </c>
      <c r="W239" s="18" t="n">
        <v>215.1</v>
      </c>
      <c r="X239" s="18" t="n">
        <v>199.93</v>
      </c>
      <c r="Y239" s="16" t="n">
        <f aca="false">IF(AND(ISNUMBER(W239),ISNUMBER(X239)),X239/W239-1,"")</f>
        <v>-0.0705253370525336</v>
      </c>
      <c r="Z239" s="16" t="n">
        <v>-0.0705253974769015</v>
      </c>
      <c r="AA239" s="16" t="n">
        <v>0.348808253290644</v>
      </c>
      <c r="AB239" s="19" t="s">
        <v>35</v>
      </c>
      <c r="AC239" s="16" t="n">
        <f aca="false">IF(AND(ISNUMBER(N239),ISNUMBER(AA239)),N239-AA239,"")</f>
        <v>-0.209241162605375</v>
      </c>
    </row>
    <row r="240" customFormat="false" ht="15" hidden="false" customHeight="false" outlineLevel="0" collapsed="false">
      <c r="A240" s="0" t="s">
        <v>689</v>
      </c>
      <c r="B240" s="0" t="s">
        <v>690</v>
      </c>
      <c r="C240" s="0" t="s">
        <v>132</v>
      </c>
      <c r="D240" s="15" t="n">
        <v>5336</v>
      </c>
      <c r="E240" s="15" t="n">
        <v>5106</v>
      </c>
      <c r="F240" s="15" t="n">
        <v>5001</v>
      </c>
      <c r="G240" s="15" t="n">
        <v>4965</v>
      </c>
      <c r="H240" s="15" t="n">
        <v>4687</v>
      </c>
      <c r="N240" s="16" t="n">
        <v>0.138468103264348</v>
      </c>
      <c r="P240" s="16" t="n">
        <v>0.045045045045045</v>
      </c>
      <c r="Q240" s="16" t="n">
        <v>0.0209958008398321</v>
      </c>
      <c r="R240" s="16" t="n">
        <v>0.00725075528700914</v>
      </c>
      <c r="S240" s="16" t="n">
        <v>0.0593129933859611</v>
      </c>
      <c r="V240" s="17" t="s">
        <v>51</v>
      </c>
      <c r="W240" s="18" t="n">
        <v>108.11</v>
      </c>
      <c r="X240" s="18" t="n">
        <v>149.51</v>
      </c>
      <c r="Y240" s="16" t="n">
        <f aca="false">IF(AND(ISNUMBER(W240),ISNUMBER(X240)),X240/W240-1,"")</f>
        <v>0.382943298492276</v>
      </c>
      <c r="Z240" s="16" t="n">
        <v>0.408226876842468</v>
      </c>
      <c r="AA240" s="16" t="n">
        <v>0.0937567979116816</v>
      </c>
      <c r="AC240" s="16" t="n">
        <f aca="false">IF(AND(ISNUMBER(N240),ISNUMBER(AA240)),N240-AA240,"")</f>
        <v>0.0447113053526666</v>
      </c>
    </row>
    <row r="241" customFormat="false" ht="15" hidden="false" customHeight="false" outlineLevel="0" collapsed="false">
      <c r="A241" s="0" t="s">
        <v>691</v>
      </c>
      <c r="B241" s="0" t="s">
        <v>692</v>
      </c>
      <c r="C241" s="0" t="s">
        <v>31</v>
      </c>
      <c r="D241" s="15" t="n">
        <v>5160</v>
      </c>
      <c r="E241" s="15" t="n">
        <v>4744</v>
      </c>
      <c r="F241" s="15" t="n">
        <v>4669</v>
      </c>
      <c r="G241" s="15" t="n">
        <v>4749</v>
      </c>
      <c r="H241" s="15" t="n">
        <v>4534</v>
      </c>
      <c r="I241" s="15" t="n">
        <v>1073</v>
      </c>
      <c r="J241" s="15" t="n">
        <v>972</v>
      </c>
      <c r="K241" s="15" t="n">
        <v>976</v>
      </c>
      <c r="L241" s="15" t="n">
        <v>939</v>
      </c>
      <c r="M241" s="15" t="n">
        <v>898</v>
      </c>
      <c r="N241" s="16" t="n">
        <v>0.13806793118659</v>
      </c>
      <c r="O241" s="16" t="n">
        <v>0.194877505567929</v>
      </c>
      <c r="P241" s="16" t="n">
        <v>0.0876897133220911</v>
      </c>
      <c r="Q241" s="16" t="n">
        <v>0.0160633968729922</v>
      </c>
      <c r="R241" s="16" t="n">
        <v>-0.0168456517161508</v>
      </c>
      <c r="S241" s="16" t="n">
        <v>0.0474194971327746</v>
      </c>
      <c r="V241" s="17" t="s">
        <v>34</v>
      </c>
      <c r="W241" s="18" t="n">
        <v>215.56</v>
      </c>
      <c r="X241" s="18" t="n">
        <v>214.39</v>
      </c>
      <c r="Y241" s="16" t="n">
        <f aca="false">IF(AND(ISNUMBER(W241),ISNUMBER(X241)),X241/W241-1,"")</f>
        <v>-0.00542772313972917</v>
      </c>
      <c r="Z241" s="16" t="n">
        <v>0.00538676862791165</v>
      </c>
      <c r="AA241" s="16" t="n">
        <v>0.139482281980397</v>
      </c>
      <c r="AC241" s="16" t="n">
        <f aca="false">IF(AND(ISNUMBER(N241),ISNUMBER(AA241)),N241-AA241,"")</f>
        <v>-0.00141435079380692</v>
      </c>
    </row>
    <row r="242" customFormat="false" ht="15" hidden="false" customHeight="false" outlineLevel="0" collapsed="false">
      <c r="A242" s="0" t="s">
        <v>693</v>
      </c>
      <c r="B242" s="0" t="s">
        <v>694</v>
      </c>
      <c r="C242" s="0" t="s">
        <v>31</v>
      </c>
      <c r="D242" s="15" t="n">
        <v>872.3</v>
      </c>
      <c r="E242" s="15" t="n">
        <v>844.9</v>
      </c>
      <c r="F242" s="15" t="n">
        <v>805</v>
      </c>
      <c r="G242" s="15" t="n">
        <v>804.6</v>
      </c>
      <c r="H242" s="15" t="n">
        <v>766.5</v>
      </c>
      <c r="I242" s="15" t="n">
        <v>191.9</v>
      </c>
      <c r="J242" s="15" t="n">
        <v>181.1</v>
      </c>
      <c r="K242" s="15" t="n">
        <v>175.1</v>
      </c>
      <c r="L242" s="15" t="n">
        <v>174.5</v>
      </c>
      <c r="M242" s="15" t="n">
        <v>158.9</v>
      </c>
      <c r="N242" s="16" t="n">
        <v>0.138030006523157</v>
      </c>
      <c r="O242" s="16" t="n">
        <v>0.207677784770296</v>
      </c>
      <c r="P242" s="16" t="n">
        <v>0.0324298733577939</v>
      </c>
      <c r="Q242" s="16" t="n">
        <v>0.0495652173913044</v>
      </c>
      <c r="R242" s="16" t="n">
        <v>0.000497141436738735</v>
      </c>
      <c r="S242" s="16" t="n">
        <v>0.0497064579256361</v>
      </c>
      <c r="V242" s="17" t="s">
        <v>147</v>
      </c>
      <c r="W242" s="18" t="n">
        <v>259.94</v>
      </c>
      <c r="X242" s="18" t="n">
        <v>375.87</v>
      </c>
      <c r="Y242" s="16" t="n">
        <f aca="false">IF(AND(ISNUMBER(W242),ISNUMBER(X242)),X242/W242-1,"")</f>
        <v>0.445987535585135</v>
      </c>
      <c r="Z242" s="16" t="n">
        <v>0.450498538255498</v>
      </c>
      <c r="AA242" s="16" t="n">
        <v>0.0917248255234298</v>
      </c>
      <c r="AC242" s="16" t="n">
        <f aca="false">IF(AND(ISNUMBER(N242),ISNUMBER(AA242)),N242-AA242,"")</f>
        <v>0.0463051809997274</v>
      </c>
    </row>
    <row r="243" customFormat="false" ht="15" hidden="false" customHeight="false" outlineLevel="0" collapsed="false">
      <c r="A243" s="0" t="s">
        <v>695</v>
      </c>
      <c r="B243" s="0" t="s">
        <v>696</v>
      </c>
      <c r="C243" s="0" t="s">
        <v>38</v>
      </c>
      <c r="D243" s="15" t="n">
        <v>9756</v>
      </c>
      <c r="E243" s="15" t="n">
        <v>9807</v>
      </c>
      <c r="F243" s="15" t="n">
        <v>9017</v>
      </c>
      <c r="G243" s="15" t="n">
        <v>8961</v>
      </c>
      <c r="H243" s="15" t="n">
        <v>8578</v>
      </c>
      <c r="I243" s="15" t="n">
        <v>1836</v>
      </c>
      <c r="J243" s="15" t="n">
        <v>2013</v>
      </c>
      <c r="K243" s="15" t="n">
        <v>1602</v>
      </c>
      <c r="L243" s="15" t="n">
        <v>1696</v>
      </c>
      <c r="M243" s="15" t="n">
        <v>1516</v>
      </c>
      <c r="N243" s="16" t="n">
        <v>0.137328048496153</v>
      </c>
      <c r="O243" s="16" t="n">
        <v>0.211081794195251</v>
      </c>
      <c r="P243" s="16" t="n">
        <v>-0.00520036708473537</v>
      </c>
      <c r="Q243" s="16" t="n">
        <v>0.0876122879006323</v>
      </c>
      <c r="R243" s="16" t="n">
        <v>0.00624930253319933</v>
      </c>
      <c r="S243" s="16" t="n">
        <v>0.0446491023548612</v>
      </c>
      <c r="V243" s="17" t="s">
        <v>147</v>
      </c>
      <c r="W243" s="18" t="n">
        <v>95.74</v>
      </c>
      <c r="X243" s="18" t="n">
        <v>89.3</v>
      </c>
      <c r="Y243" s="16" t="n">
        <f aca="false">IF(AND(ISNUMBER(W243),ISNUMBER(X243)),X243/W243-1,"")</f>
        <v>-0.0672655107583037</v>
      </c>
      <c r="Z243" s="16" t="n">
        <v>-0.0369379234783659</v>
      </c>
      <c r="AA243" s="16" t="n">
        <v>0.0837650031585597</v>
      </c>
      <c r="AC243" s="16" t="n">
        <f aca="false">IF(AND(ISNUMBER(N243),ISNUMBER(AA243)),N243-AA243,"")</f>
        <v>0.0535630453375933</v>
      </c>
    </row>
    <row r="244" customFormat="false" ht="15" hidden="false" customHeight="false" outlineLevel="0" collapsed="false">
      <c r="A244" s="0" t="s">
        <v>697</v>
      </c>
      <c r="B244" s="0" t="s">
        <v>698</v>
      </c>
      <c r="C244" s="0" t="s">
        <v>31</v>
      </c>
      <c r="D244" s="15" t="n">
        <v>15692</v>
      </c>
      <c r="E244" s="15" t="n">
        <v>15546</v>
      </c>
      <c r="F244" s="15" t="n">
        <v>15676</v>
      </c>
      <c r="G244" s="15" t="n">
        <v>17950</v>
      </c>
      <c r="H244" s="15" t="n">
        <v>13804</v>
      </c>
      <c r="N244" s="16" t="n">
        <v>0.136771950159374</v>
      </c>
      <c r="P244" s="16" t="n">
        <v>0.00939148333976592</v>
      </c>
      <c r="Q244" s="16" t="n">
        <v>-0.00829293187037505</v>
      </c>
      <c r="R244" s="16" t="n">
        <v>-0.126685236768802</v>
      </c>
      <c r="S244" s="16" t="n">
        <v>0.300347725297015</v>
      </c>
      <c r="V244" s="17" t="s">
        <v>51</v>
      </c>
      <c r="W244" s="18" t="n">
        <v>103.32</v>
      </c>
      <c r="X244" s="18" t="n">
        <v>117.59</v>
      </c>
      <c r="Y244" s="16" t="n">
        <f aca="false">IF(AND(ISNUMBER(W244),ISNUMBER(X244)),X244/W244-1,"")</f>
        <v>0.138114595431669</v>
      </c>
      <c r="Z244" s="16" t="n">
        <v>0.198403119862892</v>
      </c>
      <c r="AA244" s="16" t="n">
        <v>-0.0777397030168648</v>
      </c>
      <c r="AC244" s="16" t="n">
        <f aca="false">IF(AND(ISNUMBER(N244),ISNUMBER(AA244)),N244-AA244,"")</f>
        <v>0.214511653176239</v>
      </c>
    </row>
    <row r="245" customFormat="false" ht="15" hidden="false" customHeight="false" outlineLevel="0" collapsed="false">
      <c r="A245" s="0" t="s">
        <v>699</v>
      </c>
      <c r="B245" s="0" t="s">
        <v>700</v>
      </c>
      <c r="C245" s="0" t="s">
        <v>31</v>
      </c>
      <c r="D245" s="15" t="n">
        <v>6435</v>
      </c>
      <c r="E245" s="15" t="n">
        <v>6157</v>
      </c>
      <c r="F245" s="15" t="n">
        <v>6068</v>
      </c>
      <c r="G245" s="15" t="n">
        <v>5900</v>
      </c>
      <c r="H245" s="15" t="n">
        <v>5662</v>
      </c>
      <c r="N245" s="16" t="n">
        <v>0.136524196397033</v>
      </c>
      <c r="P245" s="16" t="n">
        <v>0.045151859671918</v>
      </c>
      <c r="Q245" s="16" t="n">
        <v>0.0146671061305208</v>
      </c>
      <c r="R245" s="16" t="n">
        <v>0.0284745762711864</v>
      </c>
      <c r="S245" s="16" t="n">
        <v>0.0420346167432002</v>
      </c>
      <c r="V245" s="17" t="s">
        <v>51</v>
      </c>
      <c r="W245" s="18" t="n">
        <v>204.08</v>
      </c>
      <c r="X245" s="18" t="n">
        <v>224.03</v>
      </c>
      <c r="Y245" s="16" t="n">
        <f aca="false">IF(AND(ISNUMBER(W245),ISNUMBER(X245)),X245/W245-1,"")</f>
        <v>0.0977557820462562</v>
      </c>
      <c r="Z245" s="16" t="n">
        <v>0.133878564958436</v>
      </c>
      <c r="AA245" s="16" t="n">
        <v>0.0462021807429311</v>
      </c>
      <c r="AC245" s="16" t="n">
        <f aca="false">IF(AND(ISNUMBER(N245),ISNUMBER(AA245)),N245-AA245,"")</f>
        <v>0.0903220156541018</v>
      </c>
    </row>
    <row r="246" customFormat="false" ht="15" hidden="false" customHeight="false" outlineLevel="0" collapsed="false">
      <c r="A246" s="0" t="s">
        <v>701</v>
      </c>
      <c r="B246" s="0" t="s">
        <v>702</v>
      </c>
      <c r="C246" s="0" t="s">
        <v>38</v>
      </c>
      <c r="D246" s="15" t="n">
        <v>4354</v>
      </c>
      <c r="E246" s="15" t="n">
        <v>8558</v>
      </c>
      <c r="F246" s="15" t="n">
        <v>4651</v>
      </c>
      <c r="G246" s="15" t="n">
        <v>3885</v>
      </c>
      <c r="H246" s="15" t="n">
        <v>3831</v>
      </c>
      <c r="I246" s="15" t="n">
        <v>768</v>
      </c>
      <c r="J246" s="15" t="n">
        <v>4020</v>
      </c>
      <c r="K246" s="15" t="n">
        <v>855</v>
      </c>
      <c r="L246" s="15" t="n">
        <v>534</v>
      </c>
      <c r="M246" s="15" t="n">
        <v>340</v>
      </c>
      <c r="N246" s="16" t="n">
        <v>0.136517880448969</v>
      </c>
      <c r="O246" s="16" t="n">
        <v>1.25882352941177</v>
      </c>
      <c r="P246" s="16" t="n">
        <v>-0.491236270156579</v>
      </c>
      <c r="Q246" s="16" t="n">
        <v>0.840034401204042</v>
      </c>
      <c r="R246" s="16" t="n">
        <v>0.197168597168597</v>
      </c>
      <c r="S246" s="16" t="n">
        <v>0.0140955364134692</v>
      </c>
      <c r="V246" s="17" t="s">
        <v>34</v>
      </c>
      <c r="W246" s="18" t="n">
        <v>694.79</v>
      </c>
      <c r="X246" s="18" t="n">
        <v>286.8</v>
      </c>
      <c r="Y246" s="16" t="n">
        <f aca="false">IF(AND(ISNUMBER(W246),ISNUMBER(X246)),X246/W246-1,"")</f>
        <v>-0.587213402610861</v>
      </c>
      <c r="Z246" s="16" t="n">
        <v>-0.58257612145783</v>
      </c>
      <c r="AA246" s="16" t="n">
        <v>0.20320351758794</v>
      </c>
      <c r="AC246" s="16" t="n">
        <f aca="false">IF(AND(ISNUMBER(N246),ISNUMBER(AA246)),N246-AA246,"")</f>
        <v>-0.0666856371389708</v>
      </c>
    </row>
    <row r="247" customFormat="false" ht="15" hidden="false" customHeight="false" outlineLevel="0" collapsed="false">
      <c r="A247" s="0" t="s">
        <v>703</v>
      </c>
      <c r="B247" s="0" t="s">
        <v>704</v>
      </c>
      <c r="C247" s="0" t="s">
        <v>31</v>
      </c>
      <c r="D247" s="15" t="n">
        <v>1741</v>
      </c>
      <c r="E247" s="15" t="n">
        <v>1648.6</v>
      </c>
      <c r="F247" s="15" t="n">
        <v>1569.6</v>
      </c>
      <c r="G247" s="15" t="n">
        <v>1553.1</v>
      </c>
      <c r="H247" s="15" t="n">
        <v>1532.2</v>
      </c>
      <c r="I247" s="15" t="n">
        <v>519.5</v>
      </c>
      <c r="J247" s="15" t="n">
        <v>514.7</v>
      </c>
      <c r="K247" s="15" t="n">
        <v>370.3</v>
      </c>
      <c r="L247" s="15" t="n">
        <v>425.1</v>
      </c>
      <c r="M247" s="15" t="n">
        <v>430.9</v>
      </c>
      <c r="N247" s="16" t="n">
        <v>0.136274637775747</v>
      </c>
      <c r="O247" s="16" t="n">
        <v>0.205616152239499</v>
      </c>
      <c r="P247" s="16" t="n">
        <v>0.0560475555016378</v>
      </c>
      <c r="Q247" s="16" t="n">
        <v>0.0503312945973498</v>
      </c>
      <c r="R247" s="16" t="n">
        <v>0.0106239134633959</v>
      </c>
      <c r="S247" s="16" t="n">
        <v>0.0136405169037985</v>
      </c>
      <c r="V247" s="17" t="s">
        <v>147</v>
      </c>
      <c r="W247" s="18" t="n">
        <v>74.66</v>
      </c>
      <c r="X247" s="18" t="n">
        <v>86.82</v>
      </c>
      <c r="Y247" s="16" t="n">
        <f aca="false">IF(AND(ISNUMBER(W247),ISNUMBER(X247)),X247/W247-1,"")</f>
        <v>0.162871684971873</v>
      </c>
      <c r="Z247" s="16" t="n">
        <v>0.162871623844912</v>
      </c>
      <c r="AA247" s="16" t="n">
        <v>0.118884182853805</v>
      </c>
      <c r="AC247" s="16" t="n">
        <f aca="false">IF(AND(ISNUMBER(N247),ISNUMBER(AA247)),N247-AA247,"")</f>
        <v>0.0173904549219428</v>
      </c>
    </row>
    <row r="248" customFormat="false" ht="15" hidden="false" customHeight="false" outlineLevel="0" collapsed="false">
      <c r="A248" s="0" t="s">
        <v>705</v>
      </c>
      <c r="B248" s="0" t="s">
        <v>706</v>
      </c>
      <c r="C248" s="0" t="s">
        <v>31</v>
      </c>
      <c r="D248" s="15" t="n">
        <v>12559.938</v>
      </c>
      <c r="E248" s="15" t="n">
        <v>12249.757</v>
      </c>
      <c r="F248" s="15" t="n">
        <v>12050.762</v>
      </c>
      <c r="G248" s="15" t="n">
        <v>11510.307</v>
      </c>
      <c r="H248" s="15" t="n">
        <v>11079.166</v>
      </c>
      <c r="I248" s="15" t="n">
        <v>4192.61</v>
      </c>
      <c r="J248" s="15" t="n">
        <v>3956.997</v>
      </c>
      <c r="K248" s="15" t="n">
        <v>2956.663</v>
      </c>
      <c r="L248" s="15" t="n">
        <v>3248.247</v>
      </c>
      <c r="M248" s="15" t="n">
        <v>3774.694</v>
      </c>
      <c r="N248" s="16" t="n">
        <v>0.133653742528995</v>
      </c>
      <c r="O248" s="16" t="n">
        <v>0.110715199695658</v>
      </c>
      <c r="P248" s="16" t="n">
        <v>0.0253214002530826</v>
      </c>
      <c r="Q248" s="16" t="n">
        <v>0.0165130636552278</v>
      </c>
      <c r="R248" s="16" t="n">
        <v>0.0469540039201386</v>
      </c>
      <c r="S248" s="16" t="n">
        <v>0.0389145717285939</v>
      </c>
      <c r="V248" s="17" t="s">
        <v>76</v>
      </c>
      <c r="W248" s="18" t="n">
        <v>120.395</v>
      </c>
      <c r="X248" s="18" t="n">
        <v>71.36</v>
      </c>
      <c r="Y248" s="16" t="n">
        <f aca="false">IF(AND(ISNUMBER(W248),ISNUMBER(X248)),X248/W248-1,"")</f>
        <v>-0.407284355662611</v>
      </c>
      <c r="Z248" s="16" t="n">
        <v>-0.407284334066542</v>
      </c>
      <c r="AA248" s="16" t="n">
        <v>0.158992228518586</v>
      </c>
      <c r="AC248" s="16" t="n">
        <f aca="false">IF(AND(ISNUMBER(N248),ISNUMBER(AA248)),N248-AA248,"")</f>
        <v>-0.0253384859895902</v>
      </c>
    </row>
    <row r="249" customFormat="false" ht="15" hidden="false" customHeight="false" outlineLevel="0" collapsed="false">
      <c r="A249" s="0" t="s">
        <v>707</v>
      </c>
      <c r="B249" s="0" t="s">
        <v>708</v>
      </c>
      <c r="C249" s="0" t="s">
        <v>38</v>
      </c>
      <c r="D249" s="15" t="n">
        <v>6264.886</v>
      </c>
      <c r="E249" s="15" t="n">
        <v>6010.476</v>
      </c>
      <c r="F249" s="15" t="n">
        <v>6635.49</v>
      </c>
      <c r="G249" s="15" t="n">
        <v>5600.946</v>
      </c>
      <c r="H249" s="15" t="n">
        <v>5529.152</v>
      </c>
      <c r="I249" s="15" t="n">
        <v>1103.618</v>
      </c>
      <c r="J249" s="15" t="n">
        <v>804.026</v>
      </c>
      <c r="K249" s="15" t="n">
        <v>814.115</v>
      </c>
      <c r="L249" s="15" t="n">
        <v>648.498</v>
      </c>
      <c r="M249" s="15" t="n">
        <v>638.274</v>
      </c>
      <c r="N249" s="16" t="n">
        <v>0.133064527797391</v>
      </c>
      <c r="O249" s="16" t="n">
        <v>0.729066200409229</v>
      </c>
      <c r="P249" s="16" t="n">
        <v>0.0423277623935277</v>
      </c>
      <c r="Q249" s="16" t="n">
        <v>-0.094192591654874</v>
      </c>
      <c r="R249" s="16" t="n">
        <v>0.184708797406724</v>
      </c>
      <c r="S249" s="16" t="n">
        <v>0.0129846312779971</v>
      </c>
      <c r="V249" s="17" t="s">
        <v>43</v>
      </c>
      <c r="W249" s="18" t="n">
        <v>149.43</v>
      </c>
      <c r="X249" s="18" t="n">
        <v>233.98</v>
      </c>
      <c r="Y249" s="16" t="n">
        <f aca="false">IF(AND(ISNUMBER(W249),ISNUMBER(X249)),X249/W249-1,"")</f>
        <v>0.565816770394164</v>
      </c>
      <c r="Z249" s="16" t="n">
        <v>0.578848182417708</v>
      </c>
      <c r="AA249" s="16" t="n">
        <v>0.0456987483165545</v>
      </c>
      <c r="AB249" s="19" t="s">
        <v>35</v>
      </c>
      <c r="AC249" s="16" t="n">
        <f aca="false">IF(AND(ISNUMBER(N249),ISNUMBER(AA249)),N249-AA249,"")</f>
        <v>0.0873657794808365</v>
      </c>
    </row>
    <row r="250" customFormat="false" ht="15" hidden="false" customHeight="false" outlineLevel="0" collapsed="false">
      <c r="A250" s="0" t="s">
        <v>709</v>
      </c>
      <c r="B250" s="0" t="s">
        <v>710</v>
      </c>
      <c r="C250" s="0" t="s">
        <v>31</v>
      </c>
      <c r="D250" s="15" t="n">
        <v>4069</v>
      </c>
      <c r="E250" s="15" t="n">
        <v>5095</v>
      </c>
      <c r="F250" s="15" t="n">
        <v>3994</v>
      </c>
      <c r="G250" s="15" t="n">
        <v>4530</v>
      </c>
      <c r="H250" s="15" t="n">
        <v>3595</v>
      </c>
      <c r="I250" s="15" t="n">
        <v>576</v>
      </c>
      <c r="J250" s="15" t="n">
        <v>1199</v>
      </c>
      <c r="K250" s="15" t="n">
        <v>500</v>
      </c>
      <c r="L250" s="15" t="n">
        <v>984</v>
      </c>
      <c r="M250" s="15" t="n">
        <v>355</v>
      </c>
      <c r="N250" s="16" t="n">
        <v>0.131849791376912</v>
      </c>
      <c r="O250" s="16" t="n">
        <v>0.622535211267606</v>
      </c>
      <c r="P250" s="16" t="n">
        <v>-0.201373895976448</v>
      </c>
      <c r="Q250" s="16" t="n">
        <v>0.275663495242864</v>
      </c>
      <c r="R250" s="16" t="n">
        <v>-0.11832229580574</v>
      </c>
      <c r="S250" s="16" t="n">
        <v>0.260083449235049</v>
      </c>
      <c r="V250" s="17" t="s">
        <v>134</v>
      </c>
      <c r="W250" s="18" t="n">
        <v>98.81</v>
      </c>
      <c r="X250" s="18" t="n">
        <v>102.61</v>
      </c>
      <c r="Y250" s="16" t="n">
        <f aca="false">IF(AND(ISNUMBER(W250),ISNUMBER(X250)),X250/W250-1,"")</f>
        <v>0.0384576459872483</v>
      </c>
      <c r="Z250" s="16" t="n">
        <v>0.0729004077872544</v>
      </c>
      <c r="AA250" s="16" t="n">
        <v>0.116459627329193</v>
      </c>
      <c r="AC250" s="16" t="n">
        <f aca="false">IF(AND(ISNUMBER(N250),ISNUMBER(AA250)),N250-AA250,"")</f>
        <v>0.0153901640477198</v>
      </c>
    </row>
    <row r="251" customFormat="false" ht="15" hidden="false" customHeight="false" outlineLevel="0" collapsed="false">
      <c r="A251" s="0" t="s">
        <v>711</v>
      </c>
      <c r="B251" s="0" t="s">
        <v>712</v>
      </c>
      <c r="C251" s="0" t="s">
        <v>31</v>
      </c>
      <c r="D251" s="15" t="n">
        <v>1308.4</v>
      </c>
      <c r="E251" s="15" t="n">
        <v>1191.9</v>
      </c>
      <c r="F251" s="15" t="n">
        <v>1259.6</v>
      </c>
      <c r="G251" s="15" t="n">
        <v>1209.3</v>
      </c>
      <c r="H251" s="15" t="n">
        <v>1157.1</v>
      </c>
      <c r="I251" s="15" t="n">
        <v>318.3</v>
      </c>
      <c r="J251" s="15" t="n">
        <v>255.3</v>
      </c>
      <c r="K251" s="15" t="n">
        <v>323</v>
      </c>
      <c r="L251" s="15" t="n">
        <v>242.5</v>
      </c>
      <c r="M251" s="15" t="n">
        <v>212.6</v>
      </c>
      <c r="N251" s="16" t="n">
        <v>0.130757929306024</v>
      </c>
      <c r="O251" s="16" t="n">
        <v>0.497177798682973</v>
      </c>
      <c r="P251" s="16" t="n">
        <v>0.0977430992532931</v>
      </c>
      <c r="Q251" s="16" t="n">
        <v>-0.053747221340108</v>
      </c>
      <c r="R251" s="16" t="n">
        <v>0.0415943107582899</v>
      </c>
      <c r="S251" s="16" t="n">
        <v>0.0451127819548873</v>
      </c>
      <c r="V251" s="17" t="s">
        <v>147</v>
      </c>
      <c r="W251" s="18" t="n">
        <v>67.5</v>
      </c>
      <c r="X251" s="18" t="n">
        <v>87.73</v>
      </c>
      <c r="Y251" s="16" t="n">
        <f aca="false">IF(AND(ISNUMBER(W251),ISNUMBER(X251)),X251/W251-1,"")</f>
        <v>0.299703703703704</v>
      </c>
      <c r="Z251" s="16" t="n">
        <v>0.299703753436053</v>
      </c>
      <c r="AA251" s="16" t="n">
        <v>0.152145773175346</v>
      </c>
      <c r="AB251" s="19" t="s">
        <v>35</v>
      </c>
      <c r="AC251" s="16" t="n">
        <f aca="false">IF(AND(ISNUMBER(N251),ISNUMBER(AA251)),N251-AA251,"")</f>
        <v>-0.0213878438693222</v>
      </c>
    </row>
    <row r="252" customFormat="false" ht="15" hidden="false" customHeight="false" outlineLevel="0" collapsed="false">
      <c r="A252" s="0" t="s">
        <v>713</v>
      </c>
      <c r="B252" s="0" t="s">
        <v>714</v>
      </c>
      <c r="C252" s="0" t="s">
        <v>31</v>
      </c>
      <c r="D252" s="15" t="n">
        <v>4940</v>
      </c>
      <c r="E252" s="15" t="n">
        <v>4812</v>
      </c>
      <c r="F252" s="15" t="n">
        <v>4960</v>
      </c>
      <c r="G252" s="15" t="n">
        <v>4791</v>
      </c>
      <c r="H252" s="15" t="n">
        <v>4375</v>
      </c>
      <c r="N252" s="16" t="n">
        <v>0.129142857142857</v>
      </c>
      <c r="P252" s="16" t="n">
        <v>0.0266001662510391</v>
      </c>
      <c r="Q252" s="16" t="n">
        <v>-0.0298387096774193</v>
      </c>
      <c r="R252" s="16" t="n">
        <v>0.0352744729701524</v>
      </c>
      <c r="S252" s="16" t="n">
        <v>0.0950857142857142</v>
      </c>
      <c r="V252" s="17" t="s">
        <v>51</v>
      </c>
      <c r="W252" s="18" t="n">
        <v>491.89</v>
      </c>
      <c r="X252" s="18" t="n">
        <v>502.79</v>
      </c>
      <c r="Y252" s="16" t="n">
        <f aca="false">IF(AND(ISNUMBER(W252),ISNUMBER(X252)),X252/W252-1,"")</f>
        <v>0.0221594258879019</v>
      </c>
      <c r="Z252" s="16" t="n">
        <v>0.0357303006168519</v>
      </c>
      <c r="AA252" s="16" t="n">
        <v>0.0223132969034607</v>
      </c>
      <c r="AC252" s="16" t="n">
        <f aca="false">IF(AND(ISNUMBER(N252),ISNUMBER(AA252)),N252-AA252,"")</f>
        <v>0.106829560239396</v>
      </c>
    </row>
    <row r="253" customFormat="false" ht="15" hidden="false" customHeight="false" outlineLevel="0" collapsed="false">
      <c r="A253" s="0" t="s">
        <v>715</v>
      </c>
      <c r="B253" s="0" t="s">
        <v>716</v>
      </c>
      <c r="C253" s="0" t="s">
        <v>572</v>
      </c>
      <c r="D253" s="15" t="n">
        <v>6760</v>
      </c>
      <c r="E253" s="15" t="n">
        <v>6618</v>
      </c>
      <c r="F253" s="15" t="n">
        <v>6398</v>
      </c>
      <c r="G253" s="15" t="n">
        <v>6194</v>
      </c>
      <c r="H253" s="15" t="n">
        <v>5988</v>
      </c>
      <c r="I253" s="15" t="n">
        <v>2354</v>
      </c>
      <c r="J253" s="15" t="n">
        <v>2238</v>
      </c>
      <c r="K253" s="15" t="n">
        <v>2418</v>
      </c>
      <c r="L253" s="15" t="n">
        <v>2261</v>
      </c>
      <c r="M253" s="15" t="n">
        <v>2173</v>
      </c>
      <c r="N253" s="16" t="n">
        <v>0.128924515698063</v>
      </c>
      <c r="O253" s="16" t="n">
        <v>0.0832949838932351</v>
      </c>
      <c r="P253" s="16" t="n">
        <v>0.0214566334239952</v>
      </c>
      <c r="Q253" s="16" t="n">
        <v>0.034385745545483</v>
      </c>
      <c r="R253" s="16" t="n">
        <v>0.0329350984824024</v>
      </c>
      <c r="S253" s="16" t="n">
        <v>0.0344021376085504</v>
      </c>
      <c r="V253" s="17" t="s">
        <v>34</v>
      </c>
      <c r="W253" s="18" t="n">
        <v>353.27</v>
      </c>
      <c r="X253" s="18" t="n">
        <v>240.69</v>
      </c>
      <c r="Y253" s="16" t="n">
        <f aca="false">IF(AND(ISNUMBER(W253),ISNUMBER(X253)),X253/W253-1,"")</f>
        <v>-0.318679763353809</v>
      </c>
      <c r="Z253" s="16" t="n">
        <v>-0.318679735254581</v>
      </c>
      <c r="AA253" s="16" t="n">
        <v>0.107248520710059</v>
      </c>
      <c r="AC253" s="16" t="n">
        <f aca="false">IF(AND(ISNUMBER(N253),ISNUMBER(AA253)),N253-AA253,"")</f>
        <v>0.0216759949880036</v>
      </c>
    </row>
    <row r="254" customFormat="false" ht="15" hidden="false" customHeight="false" outlineLevel="0" collapsed="false">
      <c r="A254" s="0" t="s">
        <v>717</v>
      </c>
      <c r="B254" s="0" t="s">
        <v>718</v>
      </c>
      <c r="C254" s="0" t="s">
        <v>38</v>
      </c>
      <c r="D254" s="15" t="n">
        <v>2649</v>
      </c>
      <c r="E254" s="15" t="n">
        <v>2542</v>
      </c>
      <c r="F254" s="15" t="n">
        <v>2532</v>
      </c>
      <c r="G254" s="15" t="n">
        <v>2432</v>
      </c>
      <c r="H254" s="15" t="n">
        <v>2348</v>
      </c>
      <c r="I254" s="15" t="n">
        <v>313</v>
      </c>
      <c r="J254" s="15" t="n">
        <v>338</v>
      </c>
      <c r="K254" s="15" t="n">
        <v>305</v>
      </c>
      <c r="L254" s="15" t="n">
        <v>264</v>
      </c>
      <c r="M254" s="15" t="n">
        <v>249</v>
      </c>
      <c r="N254" s="16" t="n">
        <v>0.128194207836457</v>
      </c>
      <c r="O254" s="16" t="n">
        <v>0.257028112449799</v>
      </c>
      <c r="P254" s="16" t="n">
        <v>0.0420928402832415</v>
      </c>
      <c r="Q254" s="16" t="n">
        <v>0.00394944707740907</v>
      </c>
      <c r="R254" s="16" t="n">
        <v>0.0411184210526316</v>
      </c>
      <c r="S254" s="16" t="n">
        <v>0.0357751277683134</v>
      </c>
      <c r="V254" s="17" t="s">
        <v>34</v>
      </c>
      <c r="W254" s="18" t="n">
        <v>241.51</v>
      </c>
      <c r="X254" s="18" t="n">
        <v>192.38</v>
      </c>
      <c r="Y254" s="16" t="n">
        <f aca="false">IF(AND(ISNUMBER(W254),ISNUMBER(X254)),X254/W254-1,"")</f>
        <v>-0.203428429464618</v>
      </c>
      <c r="Z254" s="16" t="n">
        <v>-0.203428391128686</v>
      </c>
      <c r="AA254" s="16" t="n">
        <v>0.126139088729017</v>
      </c>
      <c r="AC254" s="16" t="n">
        <f aca="false">IF(AND(ISNUMBER(N254),ISNUMBER(AA254)),N254-AA254,"")</f>
        <v>0.0020551191074398</v>
      </c>
    </row>
    <row r="255" customFormat="false" ht="15" hidden="false" customHeight="false" outlineLevel="0" collapsed="false">
      <c r="A255" s="0" t="s">
        <v>719</v>
      </c>
      <c r="B255" s="0" t="s">
        <v>720</v>
      </c>
      <c r="C255" s="0" t="s">
        <v>65</v>
      </c>
      <c r="D255" s="15" t="n">
        <v>25007</v>
      </c>
      <c r="E255" s="15" t="n">
        <v>24000</v>
      </c>
      <c r="F255" s="15" t="n">
        <v>23469</v>
      </c>
      <c r="G255" s="15" t="n">
        <v>22244</v>
      </c>
      <c r="H255" s="15" t="n">
        <v>22220</v>
      </c>
      <c r="I255" s="15" t="n">
        <v>2089</v>
      </c>
      <c r="J255" s="15" t="n">
        <v>1615</v>
      </c>
      <c r="K255" s="15" t="n">
        <v>1621</v>
      </c>
      <c r="L255" s="15" t="n">
        <v>1298</v>
      </c>
      <c r="M255" s="15" t="n">
        <v>1937</v>
      </c>
      <c r="N255" s="16" t="n">
        <v>0.125427542754276</v>
      </c>
      <c r="O255" s="16" t="n">
        <v>0.078471863706763</v>
      </c>
      <c r="P255" s="16" t="n">
        <v>0.0419583333333333</v>
      </c>
      <c r="Q255" s="16" t="n">
        <v>0.0226255912054199</v>
      </c>
      <c r="R255" s="16" t="n">
        <v>0.0550710303902176</v>
      </c>
      <c r="S255" s="16" t="n">
        <v>0.00108010801080116</v>
      </c>
      <c r="V255" s="17" t="s">
        <v>47</v>
      </c>
      <c r="W255" s="18" t="n">
        <v>188.3562</v>
      </c>
      <c r="X255" s="18" t="n">
        <v>291.5</v>
      </c>
      <c r="Y255" s="16" t="n">
        <f aca="false">IF(AND(ISNUMBER(W255),ISNUMBER(X255)),X255/W255-1,"")</f>
        <v>0.547599707362964</v>
      </c>
      <c r="Z255" s="16" t="n">
        <v>0.57385649604298</v>
      </c>
      <c r="AA255" s="16" t="n">
        <v>0.0308169980073219</v>
      </c>
      <c r="AC255" s="16" t="n">
        <f aca="false">IF(AND(ISNUMBER(N255),ISNUMBER(AA255)),N255-AA255,"")</f>
        <v>0.0946105447469537</v>
      </c>
    </row>
    <row r="256" customFormat="false" ht="15" hidden="false" customHeight="false" outlineLevel="0" collapsed="false">
      <c r="A256" s="0" t="s">
        <v>721</v>
      </c>
      <c r="B256" s="0" t="s">
        <v>722</v>
      </c>
      <c r="C256" s="0" t="s">
        <v>38</v>
      </c>
      <c r="D256" s="15" t="n">
        <v>15677</v>
      </c>
      <c r="E256" s="15" t="n">
        <v>14408</v>
      </c>
      <c r="F256" s="15" t="n">
        <v>14438</v>
      </c>
      <c r="G256" s="15" t="n">
        <v>14639</v>
      </c>
      <c r="H256" s="15" t="n">
        <v>13932</v>
      </c>
      <c r="I256" s="15" t="n">
        <v>944</v>
      </c>
      <c r="J256" s="15" t="n">
        <v>981</v>
      </c>
      <c r="K256" s="15" t="n">
        <v>883</v>
      </c>
      <c r="L256" s="15" t="n">
        <v>1076</v>
      </c>
      <c r="M256" s="15" t="n">
        <v>834</v>
      </c>
      <c r="N256" s="16" t="n">
        <v>0.125251220212461</v>
      </c>
      <c r="O256" s="16" t="n">
        <v>0.13189448441247</v>
      </c>
      <c r="P256" s="16" t="n">
        <v>0.0880760688506386</v>
      </c>
      <c r="Q256" s="16" t="n">
        <v>-0.00207785011774486</v>
      </c>
      <c r="R256" s="16" t="n">
        <v>-0.0137304460687205</v>
      </c>
      <c r="S256" s="16" t="n">
        <v>0.0507464829170257</v>
      </c>
      <c r="V256" s="17" t="s">
        <v>34</v>
      </c>
      <c r="W256" s="18" t="n">
        <v>27.5</v>
      </c>
      <c r="X256" s="18" t="n">
        <v>32.16</v>
      </c>
      <c r="Y256" s="16" t="n">
        <f aca="false">IF(AND(ISNUMBER(W256),ISNUMBER(X256)),X256/W256-1,"")</f>
        <v>0.169454545454545</v>
      </c>
      <c r="Z256" s="16" t="n">
        <v>0.229053568873417</v>
      </c>
      <c r="AA256" s="16" t="n">
        <v>0.0305495968636733</v>
      </c>
      <c r="AC256" s="16" t="n">
        <f aca="false">IF(AND(ISNUMBER(N256),ISNUMBER(AA256)),N256-AA256,"")</f>
        <v>0.0947016233487872</v>
      </c>
    </row>
    <row r="257" customFormat="false" ht="15" hidden="false" customHeight="false" outlineLevel="0" collapsed="false">
      <c r="A257" s="0" t="s">
        <v>723</v>
      </c>
      <c r="B257" s="0" t="s">
        <v>724</v>
      </c>
      <c r="C257" s="0" t="s">
        <v>65</v>
      </c>
      <c r="D257" s="15" t="n">
        <v>1605.5</v>
      </c>
      <c r="E257" s="15" t="n">
        <v>1808.9</v>
      </c>
      <c r="F257" s="15" t="n">
        <v>1557.6</v>
      </c>
      <c r="G257" s="15" t="n">
        <v>1540</v>
      </c>
      <c r="H257" s="15" t="n">
        <v>1427.3</v>
      </c>
      <c r="I257" s="15" t="n">
        <v>604.7</v>
      </c>
      <c r="J257" s="15" t="n">
        <v>792</v>
      </c>
      <c r="K257" s="15" t="n">
        <v>571.9</v>
      </c>
      <c r="L257" s="15" t="n">
        <v>541.9</v>
      </c>
      <c r="M257" s="15" t="n">
        <v>431.1</v>
      </c>
      <c r="N257" s="16" t="n">
        <v>0.12485111749457</v>
      </c>
      <c r="O257" s="16" t="n">
        <v>0.402690790999768</v>
      </c>
      <c r="P257" s="16" t="n">
        <v>-0.112444026756592</v>
      </c>
      <c r="Q257" s="16" t="n">
        <v>0.161337955829481</v>
      </c>
      <c r="R257" s="16" t="n">
        <v>0.0114285714285713</v>
      </c>
      <c r="S257" s="16" t="n">
        <v>0.0789602746444336</v>
      </c>
      <c r="V257" s="17" t="s">
        <v>47</v>
      </c>
      <c r="W257" s="18" t="n">
        <v>128.27</v>
      </c>
      <c r="X257" s="18" t="n">
        <v>104.49</v>
      </c>
      <c r="Y257" s="16" t="n">
        <f aca="false">IF(AND(ISNUMBER(W257),ISNUMBER(X257)),X257/W257-1,"")</f>
        <v>-0.185390192562563</v>
      </c>
      <c r="Z257" s="16" t="n">
        <v>-0.149511138743746</v>
      </c>
      <c r="AA257" s="16" t="n">
        <v>0.102077059686511</v>
      </c>
      <c r="AC257" s="16" t="n">
        <f aca="false">IF(AND(ISNUMBER(N257),ISNUMBER(AA257)),N257-AA257,"")</f>
        <v>0.0227740578080595</v>
      </c>
    </row>
    <row r="258" customFormat="false" ht="15" hidden="false" customHeight="false" outlineLevel="0" collapsed="false">
      <c r="A258" s="0" t="s">
        <v>725</v>
      </c>
      <c r="B258" s="0" t="s">
        <v>726</v>
      </c>
      <c r="C258" s="0" t="s">
        <v>31</v>
      </c>
      <c r="D258" s="15" t="n">
        <v>2170</v>
      </c>
      <c r="E258" s="15" t="n">
        <v>2059</v>
      </c>
      <c r="F258" s="15" t="n">
        <v>2515</v>
      </c>
      <c r="G258" s="15" t="n">
        <v>1980</v>
      </c>
      <c r="H258" s="15" t="n">
        <v>1932</v>
      </c>
      <c r="I258" s="15" t="n">
        <v>661</v>
      </c>
      <c r="J258" s="15" t="n">
        <v>598</v>
      </c>
      <c r="K258" s="15" t="n">
        <v>742</v>
      </c>
      <c r="L258" s="15" t="n">
        <v>649</v>
      </c>
      <c r="M258" s="15" t="n">
        <v>603</v>
      </c>
      <c r="N258" s="16" t="n">
        <v>0.123188405797102</v>
      </c>
      <c r="O258" s="16" t="n">
        <v>0.0961857379767828</v>
      </c>
      <c r="P258" s="16" t="n">
        <v>0.053909664885867</v>
      </c>
      <c r="Q258" s="16" t="n">
        <v>-0.181312127236581</v>
      </c>
      <c r="R258" s="16" t="n">
        <v>0.27020202020202</v>
      </c>
      <c r="S258" s="16" t="n">
        <v>0.0248447204968945</v>
      </c>
      <c r="V258" s="17" t="s">
        <v>43</v>
      </c>
      <c r="W258" s="18" t="n">
        <v>149.45</v>
      </c>
      <c r="X258" s="18" t="n">
        <v>140.63</v>
      </c>
      <c r="Y258" s="16" t="n">
        <f aca="false">IF(AND(ISNUMBER(W258),ISNUMBER(X258)),X258/W258-1,"")</f>
        <v>-0.0590163934426229</v>
      </c>
      <c r="Z258" s="16" t="n">
        <v>-0.0407428316397052</v>
      </c>
      <c r="AA258" s="16" t="n">
        <v>0.0964265456608056</v>
      </c>
      <c r="AC258" s="16" t="n">
        <f aca="false">IF(AND(ISNUMBER(N258),ISNUMBER(AA258)),N258-AA258,"")</f>
        <v>0.026761860136296</v>
      </c>
    </row>
    <row r="259" customFormat="false" ht="15" hidden="false" customHeight="false" outlineLevel="0" collapsed="false">
      <c r="A259" s="0" t="s">
        <v>727</v>
      </c>
      <c r="B259" s="0" t="s">
        <v>727</v>
      </c>
      <c r="C259" s="0" t="s">
        <v>31</v>
      </c>
      <c r="D259" s="15" t="n">
        <v>867</v>
      </c>
      <c r="E259" s="15" t="n">
        <v>850.8</v>
      </c>
      <c r="F259" s="15" t="n">
        <v>822.528</v>
      </c>
      <c r="G259" s="15" t="n">
        <v>793.426</v>
      </c>
      <c r="H259" s="15" t="n">
        <v>772.7</v>
      </c>
      <c r="I259" s="15" t="n">
        <v>487.5</v>
      </c>
      <c r="J259" s="15" t="n">
        <v>456.9</v>
      </c>
      <c r="K259" s="15" t="n">
        <v>463.62</v>
      </c>
      <c r="L259" s="15" t="n">
        <v>447.69</v>
      </c>
      <c r="M259" s="15" t="n">
        <v>425.3</v>
      </c>
      <c r="N259" s="16" t="n">
        <v>0.122039601397696</v>
      </c>
      <c r="O259" s="16" t="n">
        <v>0.146249706089819</v>
      </c>
      <c r="P259" s="16" t="n">
        <v>0.0190409026798308</v>
      </c>
      <c r="Q259" s="16" t="n">
        <v>0.0343720821661999</v>
      </c>
      <c r="R259" s="16" t="n">
        <v>0.0366789089341666</v>
      </c>
      <c r="S259" s="16" t="n">
        <v>0.0268228290410251</v>
      </c>
      <c r="V259" s="17" t="s">
        <v>51</v>
      </c>
      <c r="W259" s="18" t="n">
        <v>566.42</v>
      </c>
      <c r="X259" s="18" t="n">
        <v>555.7</v>
      </c>
      <c r="Y259" s="16" t="n">
        <f aca="false">IF(AND(ISNUMBER(W259),ISNUMBER(X259)),X259/W259-1,"")</f>
        <v>-0.0189258853854029</v>
      </c>
      <c r="Z259" s="16" t="n">
        <v>-0.00484277062967708</v>
      </c>
      <c r="AA259" s="16" t="n">
        <v>0.0914331399578219</v>
      </c>
      <c r="AC259" s="16" t="n">
        <f aca="false">IF(AND(ISNUMBER(N259),ISNUMBER(AA259)),N259-AA259,"")</f>
        <v>0.0306064614398744</v>
      </c>
    </row>
    <row r="260" customFormat="false" ht="15" hidden="false" customHeight="false" outlineLevel="0" collapsed="false">
      <c r="A260" s="0" t="s">
        <v>728</v>
      </c>
      <c r="B260" s="0" t="s">
        <v>729</v>
      </c>
      <c r="C260" s="0" t="s">
        <v>31</v>
      </c>
      <c r="D260" s="15" t="n">
        <v>14191</v>
      </c>
      <c r="E260" s="15" t="n">
        <v>13203</v>
      </c>
      <c r="F260" s="15" t="n">
        <v>14366</v>
      </c>
      <c r="G260" s="15" t="n">
        <v>13467</v>
      </c>
      <c r="H260" s="15" t="n">
        <v>12651</v>
      </c>
      <c r="I260" s="15" t="n">
        <v>1890</v>
      </c>
      <c r="J260" s="15" t="n">
        <v>1923</v>
      </c>
      <c r="K260" s="15" t="n">
        <v>1774</v>
      </c>
      <c r="L260" s="15" t="n">
        <v>1113</v>
      </c>
      <c r="M260" s="15" t="n">
        <v>1450</v>
      </c>
      <c r="N260" s="16" t="n">
        <v>0.12172950754881</v>
      </c>
      <c r="O260" s="16" t="n">
        <v>0.303448275862069</v>
      </c>
      <c r="P260" s="16" t="n">
        <v>0.0748314776944634</v>
      </c>
      <c r="Q260" s="16" t="n">
        <v>-0.0809550327161354</v>
      </c>
      <c r="R260" s="16" t="n">
        <v>0.0667557733719462</v>
      </c>
      <c r="S260" s="16" t="n">
        <v>0.0645008299739152</v>
      </c>
      <c r="V260" s="17" t="s">
        <v>47</v>
      </c>
      <c r="W260" s="18" t="n">
        <v>97.78</v>
      </c>
      <c r="X260" s="18" t="n">
        <v>69.42</v>
      </c>
      <c r="Y260" s="16" t="n">
        <f aca="false">IF(AND(ISNUMBER(W260),ISNUMBER(X260)),X260/W260-1,"")</f>
        <v>-0.290038862753119</v>
      </c>
      <c r="Z260" s="16" t="n">
        <v>-0.290038872616107</v>
      </c>
      <c r="AA260" s="16" t="n">
        <v>0.182336448598131</v>
      </c>
      <c r="AC260" s="16" t="n">
        <f aca="false">IF(AND(ISNUMBER(N260),ISNUMBER(AA260)),N260-AA260,"")</f>
        <v>-0.0606069410493206</v>
      </c>
    </row>
    <row r="261" customFormat="false" ht="15" hidden="false" customHeight="false" outlineLevel="0" collapsed="false">
      <c r="A261" s="0" t="s">
        <v>730</v>
      </c>
      <c r="B261" s="0" t="s">
        <v>731</v>
      </c>
      <c r="C261" s="0" t="s">
        <v>31</v>
      </c>
      <c r="D261" s="15" t="n">
        <v>2283</v>
      </c>
      <c r="E261" s="15" t="n">
        <v>2168</v>
      </c>
      <c r="F261" s="15" t="n">
        <v>2157</v>
      </c>
      <c r="G261" s="15" t="n">
        <v>2118</v>
      </c>
      <c r="H261" s="15" t="n">
        <v>2037</v>
      </c>
      <c r="N261" s="16" t="n">
        <v>0.120765832106038</v>
      </c>
      <c r="P261" s="16" t="n">
        <v>0.0530442804428044</v>
      </c>
      <c r="Q261" s="16" t="n">
        <v>0.00509967547519707</v>
      </c>
      <c r="R261" s="16" t="n">
        <v>0.018413597733711</v>
      </c>
      <c r="S261" s="16" t="n">
        <v>0.0397643593519883</v>
      </c>
      <c r="V261" s="17" t="s">
        <v>51</v>
      </c>
      <c r="W261" s="18" t="n">
        <v>53.15</v>
      </c>
      <c r="X261" s="18" t="n">
        <v>64.61</v>
      </c>
      <c r="Y261" s="16" t="n">
        <f aca="false">IF(AND(ISNUMBER(W261),ISNUMBER(X261)),X261/W261-1,"")</f>
        <v>0.215616180620884</v>
      </c>
      <c r="Z261" s="16" t="n">
        <v>0.252185523489859</v>
      </c>
      <c r="AA261" s="16" t="n">
        <v>0.0376974019358125</v>
      </c>
      <c r="AC261" s="16" t="n">
        <f aca="false">IF(AND(ISNUMBER(N261),ISNUMBER(AA261)),N261-AA261,"")</f>
        <v>0.0830684301702258</v>
      </c>
    </row>
    <row r="262" customFormat="false" ht="15" hidden="false" customHeight="false" outlineLevel="0" collapsed="false">
      <c r="A262" s="0" t="s">
        <v>732</v>
      </c>
      <c r="B262" s="0" t="s">
        <v>733</v>
      </c>
      <c r="C262" s="0" t="s">
        <v>132</v>
      </c>
      <c r="D262" s="15" t="n">
        <v>3187.626</v>
      </c>
      <c r="E262" s="15" t="n">
        <v>2958.944</v>
      </c>
      <c r="F262" s="15" t="n">
        <v>3812.019</v>
      </c>
      <c r="G262" s="15" t="n">
        <v>3328.849</v>
      </c>
      <c r="H262" s="15" t="n">
        <v>2846.874</v>
      </c>
      <c r="I262" s="15" t="n">
        <v>590.281</v>
      </c>
      <c r="J262" s="15" t="n">
        <v>545.708</v>
      </c>
      <c r="K262" s="15" t="n">
        <v>1131.836</v>
      </c>
      <c r="L262" s="15" t="n">
        <v>837.425</v>
      </c>
      <c r="M262" s="15" t="n">
        <v>700.104</v>
      </c>
      <c r="N262" s="16" t="n">
        <v>0.119693390013046</v>
      </c>
      <c r="O262" s="16" t="n">
        <v>-0.156866694091164</v>
      </c>
      <c r="P262" s="16" t="n">
        <v>0.0772850043799409</v>
      </c>
      <c r="Q262" s="16" t="n">
        <v>-0.223785610722297</v>
      </c>
      <c r="R262" s="16" t="n">
        <v>0.145146265270669</v>
      </c>
      <c r="S262" s="16" t="n">
        <v>0.169299730160169</v>
      </c>
      <c r="V262" s="17" t="s">
        <v>134</v>
      </c>
      <c r="W262" s="18" t="n">
        <v>91.59</v>
      </c>
      <c r="X262" s="18" t="n">
        <v>99.23</v>
      </c>
      <c r="Y262" s="16" t="n">
        <f aca="false">IF(AND(ISNUMBER(W262),ISNUMBER(X262)),X262/W262-1,"")</f>
        <v>0.0834152200021836</v>
      </c>
      <c r="Z262" s="16" t="n">
        <v>0.110398569677062</v>
      </c>
      <c r="AA262" s="16" t="n">
        <v>0.127040377570574</v>
      </c>
      <c r="AB262" s="19" t="s">
        <v>35</v>
      </c>
      <c r="AC262" s="16" t="n">
        <f aca="false">IF(AND(ISNUMBER(N262),ISNUMBER(AA262)),N262-AA262,"")</f>
        <v>-0.00734698755752851</v>
      </c>
    </row>
    <row r="263" customFormat="false" ht="15" hidden="false" customHeight="false" outlineLevel="0" collapsed="false">
      <c r="A263" s="0" t="s">
        <v>734</v>
      </c>
      <c r="B263" s="0" t="s">
        <v>735</v>
      </c>
      <c r="C263" s="0" t="s">
        <v>65</v>
      </c>
      <c r="D263" s="15" t="n">
        <v>8751</v>
      </c>
      <c r="E263" s="15" t="n">
        <v>8282</v>
      </c>
      <c r="F263" s="15" t="n">
        <v>8305</v>
      </c>
      <c r="G263" s="15" t="n">
        <v>8252</v>
      </c>
      <c r="H263" s="15" t="n">
        <v>7828</v>
      </c>
      <c r="I263" s="15" t="n">
        <v>456</v>
      </c>
      <c r="J263" s="15" t="n">
        <v>387</v>
      </c>
      <c r="K263" s="15" t="n">
        <v>372</v>
      </c>
      <c r="L263" s="15" t="n">
        <v>475</v>
      </c>
      <c r="M263" s="15" t="n">
        <v>383</v>
      </c>
      <c r="N263" s="16" t="n">
        <v>0.117910066428207</v>
      </c>
      <c r="O263" s="16" t="n">
        <v>0.190600522193211</v>
      </c>
      <c r="P263" s="16" t="n">
        <v>0.0566288336150689</v>
      </c>
      <c r="Q263" s="16" t="n">
        <v>-0.00276941601444913</v>
      </c>
      <c r="R263" s="16" t="n">
        <v>0.00642268540959767</v>
      </c>
      <c r="S263" s="16" t="n">
        <v>0.054164537557486</v>
      </c>
      <c r="V263" s="17" t="s">
        <v>34</v>
      </c>
      <c r="W263" s="18" t="n">
        <v>225.28</v>
      </c>
      <c r="X263" s="18" t="n">
        <v>308.75</v>
      </c>
      <c r="Y263" s="16" t="n">
        <f aca="false">IF(AND(ISNUMBER(W263),ISNUMBER(X263)),X263/W263-1,"")</f>
        <v>0.370516690340909</v>
      </c>
      <c r="Z263" s="16" t="n">
        <v>0.372097161283043</v>
      </c>
      <c r="AA263" s="16" t="n">
        <v>0.157132298595713</v>
      </c>
      <c r="AB263" s="19" t="s">
        <v>35</v>
      </c>
      <c r="AC263" s="16" t="n">
        <f aca="false">IF(AND(ISNUMBER(N263),ISNUMBER(AA263)),N263-AA263,"")</f>
        <v>-0.0392222321675068</v>
      </c>
    </row>
    <row r="264" customFormat="false" ht="15" hidden="false" customHeight="false" outlineLevel="0" collapsed="false">
      <c r="A264" s="0" t="s">
        <v>736</v>
      </c>
      <c r="B264" s="0" t="s">
        <v>737</v>
      </c>
      <c r="C264" s="0" t="s">
        <v>65</v>
      </c>
      <c r="D264" s="15" t="n">
        <v>70527</v>
      </c>
      <c r="E264" s="15" t="n">
        <v>69597</v>
      </c>
      <c r="F264" s="15" t="n">
        <v>67307</v>
      </c>
      <c r="G264" s="15" t="n">
        <v>86156</v>
      </c>
      <c r="H264" s="15" t="n">
        <v>63205</v>
      </c>
      <c r="I264" s="15" t="n">
        <v>2815</v>
      </c>
      <c r="J264" s="15" t="n">
        <v>2606</v>
      </c>
      <c r="K264" s="15" t="n">
        <v>2463</v>
      </c>
      <c r="L264" s="15" t="n">
        <v>3341</v>
      </c>
      <c r="M264" s="15" t="n">
        <v>2530</v>
      </c>
      <c r="N264" s="16" t="n">
        <v>0.115845265406218</v>
      </c>
      <c r="O264" s="16" t="n">
        <v>0.112648221343874</v>
      </c>
      <c r="P264" s="16" t="n">
        <v>0.0133626449415922</v>
      </c>
      <c r="Q264" s="16" t="n">
        <v>0.0340232070958444</v>
      </c>
      <c r="R264" s="16" t="n">
        <v>-0.218777566275129</v>
      </c>
      <c r="S264" s="16" t="n">
        <v>0.363120006328613</v>
      </c>
      <c r="V264" s="17" t="s">
        <v>84</v>
      </c>
      <c r="W264" s="18" t="n">
        <v>945.27</v>
      </c>
      <c r="X264" s="18" t="n">
        <v>904.7</v>
      </c>
      <c r="Y264" s="16" t="n">
        <f aca="false">IF(AND(ISNUMBER(W264),ISNUMBER(X264)),X264/W264-1,"")</f>
        <v>-0.0429189543728247</v>
      </c>
      <c r="Z264" s="16" t="n">
        <v>-0.0373347796319212</v>
      </c>
      <c r="AA264" s="16" t="n">
        <v>0.0801503887891994</v>
      </c>
      <c r="AC264" s="16" t="n">
        <f aca="false">IF(AND(ISNUMBER(N264),ISNUMBER(AA264)),N264-AA264,"")</f>
        <v>0.0356948766170185</v>
      </c>
    </row>
    <row r="265" customFormat="false" ht="15" hidden="false" customHeight="false" outlineLevel="0" collapsed="false">
      <c r="A265" s="0" t="s">
        <v>738</v>
      </c>
      <c r="B265" s="0" t="s">
        <v>739</v>
      </c>
      <c r="C265" s="0" t="s">
        <v>132</v>
      </c>
      <c r="D265" s="15" t="n">
        <v>2863</v>
      </c>
      <c r="E265" s="15" t="n">
        <v>3091</v>
      </c>
      <c r="F265" s="15" t="n">
        <v>3726</v>
      </c>
      <c r="G265" s="15" t="n">
        <v>3248</v>
      </c>
      <c r="H265" s="15" t="n">
        <v>2566</v>
      </c>
      <c r="N265" s="16" t="n">
        <v>0.115744349181606</v>
      </c>
      <c r="P265" s="16" t="n">
        <v>-0.0737625363959884</v>
      </c>
      <c r="Q265" s="16" t="n">
        <v>-0.170424047235641</v>
      </c>
      <c r="R265" s="16" t="n">
        <v>0.147167487684729</v>
      </c>
      <c r="S265" s="16" t="n">
        <v>0.265783320342946</v>
      </c>
      <c r="V265" s="17" t="s">
        <v>51</v>
      </c>
      <c r="W265" s="18" t="n">
        <v>154.52</v>
      </c>
      <c r="X265" s="18" t="n">
        <v>162.57</v>
      </c>
      <c r="Y265" s="16" t="n">
        <f aca="false">IF(AND(ISNUMBER(W265),ISNUMBER(X265)),X265/W265-1,"")</f>
        <v>0.0520968159461557</v>
      </c>
      <c r="Z265" s="16" t="n">
        <v>0.0696698820452242</v>
      </c>
      <c r="AA265" s="16" t="n">
        <v>0.276729559748428</v>
      </c>
      <c r="AB265" s="19" t="s">
        <v>35</v>
      </c>
      <c r="AC265" s="16" t="n">
        <f aca="false">IF(AND(ISNUMBER(N265),ISNUMBER(AA265)),N265-AA265,"")</f>
        <v>-0.160985210566822</v>
      </c>
    </row>
    <row r="266" customFormat="false" ht="15" hidden="false" customHeight="false" outlineLevel="0" collapsed="false">
      <c r="A266" s="0" t="s">
        <v>740</v>
      </c>
      <c r="B266" s="0" t="s">
        <v>741</v>
      </c>
      <c r="C266" s="0" t="s">
        <v>31</v>
      </c>
      <c r="D266" s="15" t="n">
        <v>771.579</v>
      </c>
      <c r="E266" s="15" t="n">
        <v>752.952</v>
      </c>
      <c r="F266" s="15" t="n">
        <v>719.402</v>
      </c>
      <c r="G266" s="15" t="n">
        <v>705.873</v>
      </c>
      <c r="H266" s="15" t="n">
        <v>694.348</v>
      </c>
      <c r="I266" s="15" t="n">
        <v>132.549</v>
      </c>
      <c r="J266" s="15" t="n">
        <v>114.766</v>
      </c>
      <c r="K266" s="15" t="n">
        <v>145.836</v>
      </c>
      <c r="L266" s="15" t="n">
        <v>131.727</v>
      </c>
      <c r="M266" s="15" t="n">
        <v>131.487</v>
      </c>
      <c r="N266" s="16" t="n">
        <v>0.111228087356772</v>
      </c>
      <c r="O266" s="16" t="n">
        <v>0.00807684409865606</v>
      </c>
      <c r="P266" s="16" t="n">
        <v>0.0247386287572116</v>
      </c>
      <c r="Q266" s="16" t="n">
        <v>0.0466359559745455</v>
      </c>
      <c r="R266" s="16" t="n">
        <v>0.0191663372873023</v>
      </c>
      <c r="S266" s="16" t="n">
        <v>0.0165983051726224</v>
      </c>
      <c r="V266" s="17" t="s">
        <v>535</v>
      </c>
      <c r="W266" s="18" t="n">
        <v>18.65</v>
      </c>
      <c r="X266" s="18" t="n">
        <v>20.48</v>
      </c>
      <c r="Y266" s="16" t="n">
        <f aca="false">IF(AND(ISNUMBER(W266),ISNUMBER(X266)),X266/W266-1,"")</f>
        <v>0.098123324396783</v>
      </c>
      <c r="Z266" s="16" t="n">
        <v>0.173402256512118</v>
      </c>
      <c r="AA266" s="16" t="n">
        <v>-0.00166210402815803</v>
      </c>
      <c r="AC266" s="16" t="n">
        <f aca="false">IF(AND(ISNUMBER(N266),ISNUMBER(AA266)),N266-AA266,"")</f>
        <v>0.11289019138493</v>
      </c>
    </row>
    <row r="267" customFormat="false" ht="15" hidden="false" customHeight="false" outlineLevel="0" collapsed="false">
      <c r="A267" s="0" t="s">
        <v>742</v>
      </c>
      <c r="B267" s="0" t="s">
        <v>743</v>
      </c>
      <c r="C267" s="0" t="s">
        <v>31</v>
      </c>
      <c r="D267" s="15" t="n">
        <v>972</v>
      </c>
      <c r="E267" s="15" t="n">
        <v>939.9</v>
      </c>
      <c r="F267" s="15" t="n">
        <v>969.8</v>
      </c>
      <c r="G267" s="15" t="n">
        <v>901.2</v>
      </c>
      <c r="H267" s="15" t="n">
        <v>875.7</v>
      </c>
      <c r="I267" s="15" t="n">
        <v>144.6</v>
      </c>
      <c r="J267" s="15" t="n">
        <v>146.9</v>
      </c>
      <c r="K267" s="15" t="n">
        <v>212.8</v>
      </c>
      <c r="L267" s="15" t="n">
        <v>164.7</v>
      </c>
      <c r="M267" s="15" t="n">
        <v>131.8</v>
      </c>
      <c r="N267" s="16" t="n">
        <v>0.109969167523125</v>
      </c>
      <c r="O267" s="16" t="n">
        <v>0.0971168437025796</v>
      </c>
      <c r="P267" s="16" t="n">
        <v>0.0341525694222791</v>
      </c>
      <c r="Q267" s="16" t="n">
        <v>-0.0308310991957105</v>
      </c>
      <c r="R267" s="16" t="n">
        <v>0.0761207279183311</v>
      </c>
      <c r="S267" s="16" t="n">
        <v>0.0291195614936621</v>
      </c>
      <c r="V267" s="17" t="s">
        <v>34</v>
      </c>
      <c r="W267" s="18" t="n">
        <v>79.88</v>
      </c>
      <c r="X267" s="18" t="n">
        <v>59.32</v>
      </c>
      <c r="Y267" s="16" t="n">
        <f aca="false">IF(AND(ISNUMBER(W267),ISNUMBER(X267)),X267/W267-1,"")</f>
        <v>-0.257386079118678</v>
      </c>
      <c r="Z267" s="16" t="n">
        <v>-0.257386057405179</v>
      </c>
      <c r="AA267" s="16" t="n">
        <v>0.00562700964630225</v>
      </c>
      <c r="AC267" s="16" t="n">
        <f aca="false">IF(AND(ISNUMBER(N267),ISNUMBER(AA267)),N267-AA267,"")</f>
        <v>0.104342157876822</v>
      </c>
    </row>
    <row r="268" customFormat="false" ht="15" hidden="false" customHeight="false" outlineLevel="0" collapsed="false">
      <c r="A268" s="0" t="s">
        <v>744</v>
      </c>
      <c r="B268" s="0" t="s">
        <v>745</v>
      </c>
      <c r="C268" s="0" t="s">
        <v>31</v>
      </c>
      <c r="D268" s="15" t="n">
        <v>7481</v>
      </c>
      <c r="E268" s="15" t="n">
        <v>10256</v>
      </c>
      <c r="F268" s="15" t="n">
        <v>7753</v>
      </c>
      <c r="G268" s="15" t="n">
        <v>7635</v>
      </c>
      <c r="H268" s="15" t="n">
        <v>6740</v>
      </c>
      <c r="I268" s="15" t="n">
        <v>955</v>
      </c>
      <c r="J268" s="15" t="n">
        <v>373</v>
      </c>
      <c r="K268" s="15" t="n">
        <v>330</v>
      </c>
      <c r="L268" s="15" t="n">
        <v>422</v>
      </c>
      <c r="M268" s="15" t="n">
        <v>43</v>
      </c>
      <c r="N268" s="16" t="n">
        <v>0.109940652818991</v>
      </c>
      <c r="O268" s="16" t="n">
        <v>21.2093023255814</v>
      </c>
      <c r="P268" s="16" t="n">
        <v>-0.270573322932917</v>
      </c>
      <c r="Q268" s="16" t="n">
        <v>0.322842770540436</v>
      </c>
      <c r="R268" s="16" t="n">
        <v>0.0154551407989523</v>
      </c>
      <c r="S268" s="16" t="n">
        <v>0.132789317507418</v>
      </c>
      <c r="V268" s="17" t="s">
        <v>134</v>
      </c>
      <c r="W268" s="18" t="n">
        <v>165.58</v>
      </c>
      <c r="X268" s="18" t="n">
        <v>100.72</v>
      </c>
      <c r="Y268" s="16" t="n">
        <f aca="false">IF(AND(ISNUMBER(W268),ISNUMBER(X268)),X268/W268-1,"")</f>
        <v>-0.391713975117768</v>
      </c>
      <c r="Z268" s="16" t="n">
        <v>-0.38419724836118</v>
      </c>
      <c r="AA268" s="16" t="n">
        <v>0.012163988586875</v>
      </c>
      <c r="AC268" s="16" t="n">
        <f aca="false">IF(AND(ISNUMBER(N268),ISNUMBER(AA268)),N268-AA268,"")</f>
        <v>0.0977766642321161</v>
      </c>
    </row>
    <row r="269" customFormat="false" ht="15" hidden="false" customHeight="false" outlineLevel="0" collapsed="false">
      <c r="A269" s="0" t="s">
        <v>746</v>
      </c>
      <c r="B269" s="0" t="s">
        <v>747</v>
      </c>
      <c r="C269" s="0" t="s">
        <v>31</v>
      </c>
      <c r="D269" s="15" t="n">
        <v>2462.9</v>
      </c>
      <c r="E269" s="15" t="n">
        <v>2298.5</v>
      </c>
      <c r="F269" s="15" t="n">
        <v>2271.2</v>
      </c>
      <c r="G269" s="15" t="n">
        <v>2215.5</v>
      </c>
      <c r="H269" s="15" t="n">
        <v>2220.5</v>
      </c>
      <c r="I269" s="15" t="n">
        <v>334.6</v>
      </c>
      <c r="J269" s="15" t="n">
        <v>289.7</v>
      </c>
      <c r="K269" s="15" t="n">
        <v>281.5</v>
      </c>
      <c r="L269" s="15" t="n">
        <v>281.1</v>
      </c>
      <c r="M269" s="15" t="n">
        <v>286.7</v>
      </c>
      <c r="N269" s="16" t="n">
        <v>0.10916460256699</v>
      </c>
      <c r="O269" s="16" t="n">
        <v>0.167073596093478</v>
      </c>
      <c r="P269" s="16" t="n">
        <v>0.0715249075484012</v>
      </c>
      <c r="Q269" s="16" t="n">
        <v>0.0120200774920747</v>
      </c>
      <c r="R269" s="16" t="n">
        <v>0.025141051681336</v>
      </c>
      <c r="S269" s="16" t="n">
        <v>-0.00225174510245441</v>
      </c>
      <c r="V269" s="17" t="s">
        <v>104</v>
      </c>
      <c r="W269" s="18" t="n">
        <v>162.22</v>
      </c>
      <c r="X269" s="18" t="n">
        <v>172.66</v>
      </c>
      <c r="Y269" s="16" t="n">
        <f aca="false">IF(AND(ISNUMBER(W269),ISNUMBER(X269)),X269/W269-1,"")</f>
        <v>0.0643570459869314</v>
      </c>
      <c r="Z269" s="16" t="n">
        <v>0.0886841920434418</v>
      </c>
      <c r="AA269" s="16" t="n">
        <v>-0.00662103520780211</v>
      </c>
      <c r="AC269" s="16" t="n">
        <f aca="false">IF(AND(ISNUMBER(N269),ISNUMBER(AA269)),N269-AA269,"")</f>
        <v>0.115785637774792</v>
      </c>
    </row>
    <row r="270" customFormat="false" ht="15" hidden="false" customHeight="false" outlineLevel="0" collapsed="false">
      <c r="A270" s="0" t="s">
        <v>748</v>
      </c>
      <c r="B270" s="0" t="s">
        <v>749</v>
      </c>
      <c r="C270" s="0" t="s">
        <v>31</v>
      </c>
      <c r="D270" s="15" t="n">
        <v>865.077</v>
      </c>
      <c r="E270" s="15" t="n">
        <v>811.7</v>
      </c>
      <c r="F270" s="15" t="n">
        <v>822.465</v>
      </c>
      <c r="G270" s="15" t="n">
        <v>810.09</v>
      </c>
      <c r="H270" s="15" t="n">
        <v>780.37</v>
      </c>
      <c r="I270" s="15" t="n">
        <v>213.237</v>
      </c>
      <c r="J270" s="15" t="n">
        <v>178.703</v>
      </c>
      <c r="K270" s="15" t="n">
        <v>214.144</v>
      </c>
      <c r="L270" s="15" t="n">
        <v>219.816</v>
      </c>
      <c r="M270" s="15" t="n">
        <v>196.317</v>
      </c>
      <c r="N270" s="16" t="n">
        <v>0.108547227597166</v>
      </c>
      <c r="O270" s="16" t="n">
        <v>0.0861871361114932</v>
      </c>
      <c r="P270" s="16" t="n">
        <v>0.0657595170629544</v>
      </c>
      <c r="Q270" s="16" t="n">
        <v>-0.0130887028627358</v>
      </c>
      <c r="R270" s="16" t="n">
        <v>0.0152760804355072</v>
      </c>
      <c r="S270" s="16" t="n">
        <v>0.0380844983789741</v>
      </c>
      <c r="V270" s="17" t="s">
        <v>34</v>
      </c>
      <c r="W270" s="18" t="n">
        <v>324.47</v>
      </c>
      <c r="X270" s="18" t="n">
        <v>455.99</v>
      </c>
      <c r="Y270" s="16" t="n">
        <f aca="false">IF(AND(ISNUMBER(W270),ISNUMBER(X270)),X270/W270-1,"")</f>
        <v>0.405337935710543</v>
      </c>
      <c r="Z270" s="16" t="n">
        <v>0.4053379003263</v>
      </c>
      <c r="AA270" s="16" t="n">
        <v>0.122035384869769</v>
      </c>
      <c r="AC270" s="16" t="n">
        <f aca="false">IF(AND(ISNUMBER(N270),ISNUMBER(AA270)),N270-AA270,"")</f>
        <v>-0.0134881572726036</v>
      </c>
    </row>
    <row r="271" customFormat="false" ht="15" hidden="false" customHeight="false" outlineLevel="0" collapsed="false">
      <c r="A271" s="0" t="s">
        <v>750</v>
      </c>
      <c r="B271" s="0" t="s">
        <v>751</v>
      </c>
      <c r="C271" s="0" t="s">
        <v>38</v>
      </c>
      <c r="D271" s="15" t="n">
        <v>11345</v>
      </c>
      <c r="E271" s="15" t="n">
        <v>11133</v>
      </c>
      <c r="F271" s="15" t="n">
        <v>11201</v>
      </c>
      <c r="G271" s="15" t="n">
        <v>10259</v>
      </c>
      <c r="H271" s="15" t="n">
        <v>10236</v>
      </c>
      <c r="I271" s="15" t="n">
        <v>2425</v>
      </c>
      <c r="J271" s="15" t="n">
        <v>2427</v>
      </c>
      <c r="K271" s="15" t="n">
        <v>2155</v>
      </c>
      <c r="L271" s="15" t="n">
        <v>2448</v>
      </c>
      <c r="M271" s="15" t="n">
        <v>2336</v>
      </c>
      <c r="N271" s="16" t="n">
        <v>0.108343102774521</v>
      </c>
      <c r="O271" s="16" t="n">
        <v>0.0380993150684932</v>
      </c>
      <c r="P271" s="16" t="n">
        <v>0.0190424863019851</v>
      </c>
      <c r="Q271" s="16" t="n">
        <v>-0.0060708865279886</v>
      </c>
      <c r="R271" s="16" t="n">
        <v>0.0918218149917145</v>
      </c>
      <c r="S271" s="16" t="n">
        <v>0.00224697147323183</v>
      </c>
      <c r="V271" s="17" t="s">
        <v>34</v>
      </c>
      <c r="W271" s="18" t="n">
        <v>245.89</v>
      </c>
      <c r="X271" s="18" t="n">
        <v>237.58</v>
      </c>
      <c r="Y271" s="16" t="n">
        <f aca="false">IF(AND(ISNUMBER(W271),ISNUMBER(X271)),X271/W271-1,"")</f>
        <v>-0.0337955996583837</v>
      </c>
      <c r="Z271" s="16" t="n">
        <v>-0.0256004165437197</v>
      </c>
      <c r="AA271" s="16" t="n">
        <v>0.0976943699731903</v>
      </c>
      <c r="AC271" s="16" t="n">
        <f aca="false">IF(AND(ISNUMBER(N271),ISNUMBER(AA271)),N271-AA271,"")</f>
        <v>0.0106487328013309</v>
      </c>
    </row>
    <row r="272" customFormat="false" ht="15" hidden="false" customHeight="false" outlineLevel="0" collapsed="false">
      <c r="A272" s="0" t="s">
        <v>752</v>
      </c>
      <c r="B272" s="0" t="s">
        <v>753</v>
      </c>
      <c r="C272" s="0" t="s">
        <v>31</v>
      </c>
      <c r="D272" s="15" t="n">
        <v>18336</v>
      </c>
      <c r="E272" s="15" t="n">
        <v>16751</v>
      </c>
      <c r="F272" s="15" t="n">
        <v>17199</v>
      </c>
      <c r="G272" s="15" t="n">
        <v>17061</v>
      </c>
      <c r="H272" s="15" t="n">
        <v>16546</v>
      </c>
      <c r="N272" s="16" t="n">
        <v>0.108183246706153</v>
      </c>
      <c r="P272" s="16" t="n">
        <v>0.0946212166437825</v>
      </c>
      <c r="Q272" s="16" t="n">
        <v>-0.026048026048026</v>
      </c>
      <c r="R272" s="16" t="n">
        <v>0.00808862317566383</v>
      </c>
      <c r="S272" s="16" t="n">
        <v>0.031125347516016</v>
      </c>
      <c r="V272" s="17" t="s">
        <v>51</v>
      </c>
      <c r="W272" s="18" t="n">
        <v>209.41</v>
      </c>
      <c r="X272" s="18" t="n">
        <v>225.66</v>
      </c>
      <c r="Y272" s="16" t="n">
        <f aca="false">IF(AND(ISNUMBER(W272),ISNUMBER(X272)),X272/W272-1,"")</f>
        <v>0.0775989685306338</v>
      </c>
      <c r="Z272" s="16" t="n">
        <v>0.0984459907068278</v>
      </c>
      <c r="AA272" s="16" t="n">
        <v>0.0584828815069365</v>
      </c>
      <c r="AC272" s="16" t="n">
        <f aca="false">IF(AND(ISNUMBER(N272),ISNUMBER(AA272)),N272-AA272,"")</f>
        <v>0.049700365199216</v>
      </c>
    </row>
    <row r="273" customFormat="false" ht="15" hidden="false" customHeight="false" outlineLevel="0" collapsed="false">
      <c r="A273" s="0" t="s">
        <v>754</v>
      </c>
      <c r="B273" s="0" t="s">
        <v>755</v>
      </c>
      <c r="C273" s="0" t="s">
        <v>31</v>
      </c>
      <c r="D273" s="15" t="n">
        <v>2337</v>
      </c>
      <c r="E273" s="15" t="n">
        <v>2185</v>
      </c>
      <c r="F273" s="15" t="n">
        <v>2362</v>
      </c>
      <c r="G273" s="15" t="n">
        <v>2144</v>
      </c>
      <c r="H273" s="15" t="n">
        <v>2109</v>
      </c>
      <c r="I273" s="15" t="n">
        <v>295</v>
      </c>
      <c r="J273" s="15" t="n">
        <v>221</v>
      </c>
      <c r="K273" s="15" t="n">
        <v>403</v>
      </c>
      <c r="L273" s="15" t="n">
        <v>223</v>
      </c>
      <c r="M273" s="15" t="n">
        <v>202</v>
      </c>
      <c r="N273" s="16" t="n">
        <v>0.108108108108108</v>
      </c>
      <c r="O273" s="16" t="n">
        <v>0.46039603960396</v>
      </c>
      <c r="P273" s="16" t="n">
        <v>0.0695652173913044</v>
      </c>
      <c r="Q273" s="16" t="n">
        <v>-0.0749364944961897</v>
      </c>
      <c r="R273" s="16" t="n">
        <v>0.101679104477612</v>
      </c>
      <c r="S273" s="16" t="n">
        <v>0.0165955429113325</v>
      </c>
      <c r="V273" s="17" t="s">
        <v>76</v>
      </c>
      <c r="W273" s="18" t="n">
        <v>30.23</v>
      </c>
      <c r="X273" s="18" t="n">
        <v>28.12</v>
      </c>
      <c r="Y273" s="16" t="n">
        <f aca="false">IF(AND(ISNUMBER(W273),ISNUMBER(X273)),X273/W273-1,"")</f>
        <v>-0.0697982136950049</v>
      </c>
      <c r="Z273" s="16" t="n">
        <v>-0.0627679972099778</v>
      </c>
      <c r="AA273" s="16" t="n">
        <v>0.00812619502868062</v>
      </c>
      <c r="AC273" s="16" t="n">
        <f aca="false">IF(AND(ISNUMBER(N273),ISNUMBER(AA273)),N273-AA273,"")</f>
        <v>0.0999819130794275</v>
      </c>
    </row>
    <row r="274" customFormat="false" ht="15" hidden="false" customHeight="false" outlineLevel="0" collapsed="false">
      <c r="A274" s="0" t="s">
        <v>756</v>
      </c>
      <c r="B274" s="0" t="s">
        <v>757</v>
      </c>
      <c r="C274" s="0" t="s">
        <v>31</v>
      </c>
      <c r="D274" s="15" t="n">
        <v>2337</v>
      </c>
      <c r="E274" s="15" t="n">
        <v>2185</v>
      </c>
      <c r="F274" s="15" t="n">
        <v>2362</v>
      </c>
      <c r="G274" s="15" t="n">
        <v>2144</v>
      </c>
      <c r="H274" s="15" t="n">
        <v>2109</v>
      </c>
      <c r="I274" s="15" t="n">
        <v>295</v>
      </c>
      <c r="J274" s="15" t="n">
        <v>221</v>
      </c>
      <c r="K274" s="15" t="n">
        <v>403</v>
      </c>
      <c r="L274" s="15" t="n">
        <v>223</v>
      </c>
      <c r="M274" s="15" t="n">
        <v>202</v>
      </c>
      <c r="N274" s="16" t="n">
        <v>0.108108108108108</v>
      </c>
      <c r="O274" s="16" t="n">
        <v>0.46039603960396</v>
      </c>
      <c r="P274" s="16" t="n">
        <v>0.0695652173913044</v>
      </c>
      <c r="Q274" s="16" t="n">
        <v>-0.0749364944961897</v>
      </c>
      <c r="R274" s="16" t="n">
        <v>0.101679104477612</v>
      </c>
      <c r="S274" s="16" t="n">
        <v>0.0165955429113325</v>
      </c>
      <c r="V274" s="17" t="s">
        <v>76</v>
      </c>
      <c r="W274" s="18" t="n">
        <v>33.59</v>
      </c>
      <c r="X274" s="18" t="n">
        <v>31.22</v>
      </c>
      <c r="Y274" s="16" t="n">
        <f aca="false">IF(AND(ISNUMBER(W274),ISNUMBER(X274)),X274/W274-1,"")</f>
        <v>-0.0705567133075321</v>
      </c>
      <c r="Z274" s="16" t="n">
        <v>-0.0643231191822704</v>
      </c>
      <c r="AA274" s="16"/>
      <c r="AC274" s="16" t="str">
        <f aca="false">IF(AND(ISNUMBER(N274),ISNUMBER(AA274)),N274-AA274,"")</f>
        <v/>
      </c>
    </row>
    <row r="275" customFormat="false" ht="15" hidden="false" customHeight="false" outlineLevel="0" collapsed="false">
      <c r="A275" s="0" t="s">
        <v>758</v>
      </c>
      <c r="B275" s="0" t="s">
        <v>759</v>
      </c>
      <c r="C275" s="0" t="s">
        <v>31</v>
      </c>
      <c r="D275" s="15" t="n">
        <v>4477</v>
      </c>
      <c r="E275" s="15" t="n">
        <v>4828</v>
      </c>
      <c r="F275" s="15" t="n">
        <v>4508</v>
      </c>
      <c r="G275" s="15" t="n">
        <v>4146</v>
      </c>
      <c r="H275" s="15" t="n">
        <v>4042</v>
      </c>
      <c r="I275" s="15" t="n">
        <v>1346</v>
      </c>
      <c r="J275" s="15" t="n">
        <v>1444</v>
      </c>
      <c r="K275" s="15" t="n">
        <v>1364</v>
      </c>
      <c r="L275" s="15" t="n">
        <v>1063</v>
      </c>
      <c r="M275" s="15" t="n">
        <v>1152</v>
      </c>
      <c r="N275" s="16" t="n">
        <v>0.107619990103909</v>
      </c>
      <c r="O275" s="16" t="n">
        <v>0.168402777777778</v>
      </c>
      <c r="P275" s="16" t="n">
        <v>-0.0727009113504556</v>
      </c>
      <c r="Q275" s="16" t="n">
        <v>0.0709849157054125</v>
      </c>
      <c r="R275" s="16" t="n">
        <v>0.0873130728412928</v>
      </c>
      <c r="S275" s="16" t="n">
        <v>0.0257298367144978</v>
      </c>
      <c r="V275" s="17" t="s">
        <v>80</v>
      </c>
      <c r="W275" s="18" t="n">
        <v>27.82</v>
      </c>
      <c r="X275" s="18" t="n">
        <v>31.37</v>
      </c>
      <c r="Y275" s="16" t="n">
        <f aca="false">IF(AND(ISNUMBER(W275),ISNUMBER(X275)),X275/W275-1,"")</f>
        <v>0.127606038820992</v>
      </c>
      <c r="Z275" s="16" t="n">
        <v>0.172936122397341</v>
      </c>
      <c r="AA275" s="16" t="n">
        <v>0.131578947368421</v>
      </c>
      <c r="AC275" s="16" t="n">
        <f aca="false">IF(AND(ISNUMBER(N275),ISNUMBER(AA275)),N275-AA275,"")</f>
        <v>-0.023958957264512</v>
      </c>
    </row>
    <row r="276" customFormat="false" ht="15" hidden="false" customHeight="false" outlineLevel="0" collapsed="false">
      <c r="A276" s="0" t="s">
        <v>760</v>
      </c>
      <c r="B276" s="0" t="s">
        <v>761</v>
      </c>
      <c r="C276" s="0" t="s">
        <v>31</v>
      </c>
      <c r="D276" s="15" t="n">
        <v>2152</v>
      </c>
      <c r="E276" s="15" t="n">
        <v>2975</v>
      </c>
      <c r="F276" s="15" t="n">
        <v>2505</v>
      </c>
      <c r="G276" s="15" t="n">
        <v>1988</v>
      </c>
      <c r="H276" s="15" t="n">
        <v>1944</v>
      </c>
      <c r="I276" s="15" t="n">
        <v>534</v>
      </c>
      <c r="J276" s="15" t="n">
        <v>658</v>
      </c>
      <c r="K276" s="15" t="n">
        <v>542</v>
      </c>
      <c r="L276" s="15" t="n">
        <v>502</v>
      </c>
      <c r="M276" s="15" t="n">
        <v>417</v>
      </c>
      <c r="N276" s="16" t="n">
        <v>0.106995884773663</v>
      </c>
      <c r="O276" s="16" t="n">
        <v>0.280575539568345</v>
      </c>
      <c r="P276" s="16" t="n">
        <v>-0.276638655462185</v>
      </c>
      <c r="Q276" s="16" t="n">
        <v>0.187624750499002</v>
      </c>
      <c r="R276" s="16" t="n">
        <v>0.260060362173038</v>
      </c>
      <c r="S276" s="16" t="n">
        <v>0.022633744855967</v>
      </c>
      <c r="V276" s="17" t="s">
        <v>134</v>
      </c>
      <c r="W276" s="18" t="n">
        <v>39.01</v>
      </c>
      <c r="X276" s="18" t="n">
        <v>37.16</v>
      </c>
      <c r="Y276" s="16" t="n">
        <f aca="false">IF(AND(ISNUMBER(W276),ISNUMBER(X276)),X276/W276-1,"")</f>
        <v>-0.0474237375032044</v>
      </c>
      <c r="Z276" s="16" t="n">
        <v>-0.025759108663892</v>
      </c>
      <c r="AA276" s="16" t="n">
        <v>0.020472440944882</v>
      </c>
      <c r="AC276" s="16" t="n">
        <f aca="false">IF(AND(ISNUMBER(N276),ISNUMBER(AA276)),N276-AA276,"")</f>
        <v>0.0865234438287805</v>
      </c>
    </row>
    <row r="277" customFormat="false" ht="15" hidden="false" customHeight="false" outlineLevel="0" collapsed="false">
      <c r="A277" s="0" t="s">
        <v>762</v>
      </c>
      <c r="B277" s="0" t="s">
        <v>763</v>
      </c>
      <c r="C277" s="0" t="s">
        <v>31</v>
      </c>
      <c r="D277" s="15" t="n">
        <v>3611</v>
      </c>
      <c r="E277" s="15" t="n">
        <v>3666</v>
      </c>
      <c r="F277" s="15" t="n">
        <v>3142</v>
      </c>
      <c r="G277" s="15" t="n">
        <v>3007</v>
      </c>
      <c r="H277" s="15" t="n">
        <v>3262</v>
      </c>
      <c r="I277" s="15" t="n">
        <v>1403</v>
      </c>
      <c r="J277" s="15" t="n">
        <v>1706</v>
      </c>
      <c r="K277" s="15" t="n">
        <v>1256</v>
      </c>
      <c r="L277" s="15" t="n">
        <v>1183</v>
      </c>
      <c r="M277" s="15" t="n">
        <v>1307</v>
      </c>
      <c r="N277" s="16" t="n">
        <v>0.106989576946658</v>
      </c>
      <c r="O277" s="16" t="n">
        <v>0.0734506503443</v>
      </c>
      <c r="P277" s="16" t="n">
        <v>-0.0150027277686852</v>
      </c>
      <c r="Q277" s="16" t="n">
        <v>0.166772756206238</v>
      </c>
      <c r="R277" s="16" t="n">
        <v>0.0448952444296642</v>
      </c>
      <c r="S277" s="16" t="n">
        <v>-0.0781729000613121</v>
      </c>
      <c r="V277" s="17" t="s">
        <v>51</v>
      </c>
      <c r="W277" s="18" t="n">
        <v>168.05</v>
      </c>
      <c r="X277" s="18" t="n">
        <v>156.35</v>
      </c>
      <c r="Y277" s="16" t="n">
        <f aca="false">IF(AND(ISNUMBER(W277),ISNUMBER(X277)),X277/W277-1,"")</f>
        <v>-0.0696221362689676</v>
      </c>
      <c r="Z277" s="16" t="n">
        <v>-0.0572310590147337</v>
      </c>
      <c r="AA277" s="16" t="n">
        <v>0.125992405937176</v>
      </c>
      <c r="AC277" s="16" t="n">
        <f aca="false">IF(AND(ISNUMBER(N277),ISNUMBER(AA277)),N277-AA277,"")</f>
        <v>-0.019002828990518</v>
      </c>
    </row>
    <row r="278" customFormat="false" ht="15" hidden="false" customHeight="false" outlineLevel="0" collapsed="false">
      <c r="A278" s="0" t="s">
        <v>764</v>
      </c>
      <c r="B278" s="0" t="s">
        <v>765</v>
      </c>
      <c r="C278" s="0" t="s">
        <v>31</v>
      </c>
      <c r="D278" s="15" t="n">
        <v>1907.4</v>
      </c>
      <c r="E278" s="15" t="n">
        <v>1857</v>
      </c>
      <c r="F278" s="15" t="n">
        <v>1934.1</v>
      </c>
      <c r="G278" s="15" t="n">
        <v>1893.5</v>
      </c>
      <c r="H278" s="15" t="n">
        <v>1723.3</v>
      </c>
      <c r="I278" s="15" t="n">
        <v>563.7</v>
      </c>
      <c r="J278" s="15" t="n">
        <v>708.5</v>
      </c>
      <c r="K278" s="15" t="n">
        <v>644.4</v>
      </c>
      <c r="L278" s="15" t="n">
        <v>698.5</v>
      </c>
      <c r="M278" s="15" t="n">
        <v>509.5</v>
      </c>
      <c r="N278" s="16" t="n">
        <v>0.1068299193408</v>
      </c>
      <c r="O278" s="16" t="n">
        <v>0.106378802747792</v>
      </c>
      <c r="P278" s="16" t="n">
        <v>0.027140549273021</v>
      </c>
      <c r="Q278" s="16" t="n">
        <v>-0.039863502404219</v>
      </c>
      <c r="R278" s="16" t="n">
        <v>0.0214417744916822</v>
      </c>
      <c r="S278" s="16" t="n">
        <v>0.0987639993036615</v>
      </c>
      <c r="V278" s="17" t="s">
        <v>51</v>
      </c>
      <c r="W278" s="18" t="n">
        <v>103.45</v>
      </c>
      <c r="X278" s="18" t="n">
        <v>104.57</v>
      </c>
      <c r="Y278" s="16" t="n">
        <f aca="false">IF(AND(ISNUMBER(W278),ISNUMBER(X278)),X278/W278-1,"")</f>
        <v>0.0108264862252294</v>
      </c>
      <c r="Z278" s="16" t="n">
        <v>0.0639871956985298</v>
      </c>
      <c r="AA278" s="16" t="n">
        <v>-0.00576934171810994</v>
      </c>
      <c r="AC278" s="16" t="n">
        <f aca="false">IF(AND(ISNUMBER(N278),ISNUMBER(AA278)),N278-AA278,"")</f>
        <v>0.11259926105891</v>
      </c>
    </row>
    <row r="279" customFormat="false" ht="15" hidden="false" customHeight="false" outlineLevel="0" collapsed="false">
      <c r="A279" s="0" t="s">
        <v>766</v>
      </c>
      <c r="B279" s="0" t="s">
        <v>767</v>
      </c>
      <c r="C279" s="0" t="s">
        <v>31</v>
      </c>
      <c r="D279" s="15" t="n">
        <v>1700.1</v>
      </c>
      <c r="E279" s="15" t="n">
        <v>1648.9</v>
      </c>
      <c r="F279" s="15" t="n">
        <v>1550.6</v>
      </c>
      <c r="G279" s="15" t="n">
        <v>1544.9</v>
      </c>
      <c r="H279" s="15" t="n">
        <v>1537</v>
      </c>
      <c r="I279" s="15" t="n">
        <v>314.2</v>
      </c>
      <c r="J279" s="15" t="n">
        <v>287.7</v>
      </c>
      <c r="K279" s="15" t="n">
        <v>284.2</v>
      </c>
      <c r="L279" s="15" t="n">
        <v>264.3</v>
      </c>
      <c r="M279" s="15" t="n">
        <v>310.8</v>
      </c>
      <c r="N279" s="16" t="n">
        <v>0.106115810019519</v>
      </c>
      <c r="O279" s="16" t="n">
        <v>0.010939510939511</v>
      </c>
      <c r="P279" s="16" t="n">
        <v>0.031051003699436</v>
      </c>
      <c r="Q279" s="16" t="n">
        <v>0.0633948149103574</v>
      </c>
      <c r="R279" s="16" t="n">
        <v>0.00368955919476988</v>
      </c>
      <c r="S279" s="16" t="n">
        <v>0.00513988288874434</v>
      </c>
      <c r="V279" s="17" t="s">
        <v>47</v>
      </c>
      <c r="W279" s="18" t="n">
        <v>257.43</v>
      </c>
      <c r="X279" s="18" t="n">
        <v>155.32</v>
      </c>
      <c r="Y279" s="16" t="n">
        <f aca="false">IF(AND(ISNUMBER(W279),ISNUMBER(X279)),X279/W279-1,"")</f>
        <v>-0.39665151691722</v>
      </c>
      <c r="Z279" s="16" t="n">
        <v>-0.389755181508987</v>
      </c>
      <c r="AA279" s="16" t="n">
        <v>0.0744494931842012</v>
      </c>
      <c r="AC279" s="16" t="n">
        <f aca="false">IF(AND(ISNUMBER(N279),ISNUMBER(AA279)),N279-AA279,"")</f>
        <v>0.0316663168353173</v>
      </c>
    </row>
    <row r="280" customFormat="false" ht="15" hidden="false" customHeight="false" outlineLevel="0" collapsed="false">
      <c r="A280" s="0" t="s">
        <v>768</v>
      </c>
      <c r="B280" s="0" t="s">
        <v>769</v>
      </c>
      <c r="C280" s="0" t="s">
        <v>31</v>
      </c>
      <c r="D280" s="15" t="n">
        <v>11994</v>
      </c>
      <c r="E280" s="15" t="n">
        <v>11005</v>
      </c>
      <c r="F280" s="15" t="n">
        <v>12215</v>
      </c>
      <c r="G280" s="15" t="n">
        <v>11122</v>
      </c>
      <c r="H280" s="15" t="n">
        <v>10854</v>
      </c>
      <c r="I280" s="15" t="n">
        <v>2185</v>
      </c>
      <c r="J280" s="15" t="n">
        <v>1913</v>
      </c>
      <c r="K280" s="15" t="n">
        <v>2303</v>
      </c>
      <c r="L280" s="15" t="n">
        <v>2075</v>
      </c>
      <c r="M280" s="15" t="n">
        <v>1916</v>
      </c>
      <c r="N280" s="16" t="n">
        <v>0.105030403537866</v>
      </c>
      <c r="O280" s="16" t="n">
        <v>0.140396659707724</v>
      </c>
      <c r="P280" s="16" t="n">
        <v>0.0898682417083143</v>
      </c>
      <c r="Q280" s="16" t="n">
        <v>-0.0990585345886206</v>
      </c>
      <c r="R280" s="16" t="n">
        <v>0.0982736917820537</v>
      </c>
      <c r="S280" s="16" t="n">
        <v>0.0246913580246915</v>
      </c>
      <c r="V280" s="17" t="s">
        <v>147</v>
      </c>
      <c r="W280" s="18" t="n">
        <v>468</v>
      </c>
      <c r="X280" s="18" t="n">
        <v>665.3</v>
      </c>
      <c r="Y280" s="16" t="n">
        <f aca="false">IF(AND(ISNUMBER(W280),ISNUMBER(X280)),X280/W280-1,"")</f>
        <v>0.421581196581196</v>
      </c>
      <c r="Z280" s="16" t="n">
        <v>0.42657670211664</v>
      </c>
      <c r="AA280" s="16" t="n">
        <v>0.0297884451190589</v>
      </c>
      <c r="AC280" s="16" t="n">
        <f aca="false">IF(AND(ISNUMBER(N280),ISNUMBER(AA280)),N280-AA280,"")</f>
        <v>0.0752419584188073</v>
      </c>
    </row>
    <row r="281" customFormat="false" ht="15" hidden="false" customHeight="false" outlineLevel="0" collapsed="false">
      <c r="A281" s="0" t="s">
        <v>770</v>
      </c>
      <c r="B281" s="0" t="s">
        <v>771</v>
      </c>
      <c r="C281" s="0" t="s">
        <v>31</v>
      </c>
      <c r="D281" s="15" t="n">
        <v>4146</v>
      </c>
      <c r="E281" s="15" t="n">
        <v>4171</v>
      </c>
      <c r="F281" s="15" t="n">
        <v>3916</v>
      </c>
      <c r="G281" s="15" t="n">
        <v>3888</v>
      </c>
      <c r="H281" s="15" t="n">
        <v>3755</v>
      </c>
      <c r="I281" s="15" t="n">
        <v>1801</v>
      </c>
      <c r="J281" s="15" t="n">
        <v>1827</v>
      </c>
      <c r="K281" s="15" t="n">
        <v>1404</v>
      </c>
      <c r="L281" s="15" t="n">
        <v>1668</v>
      </c>
      <c r="M281" s="15" t="n">
        <v>1537</v>
      </c>
      <c r="N281" s="16" t="n">
        <v>0.104127829560586</v>
      </c>
      <c r="O281" s="16" t="n">
        <v>0.171763175016265</v>
      </c>
      <c r="P281" s="16" t="n">
        <v>-0.00599376648285788</v>
      </c>
      <c r="Q281" s="16" t="n">
        <v>0.06511746680286</v>
      </c>
      <c r="R281" s="16" t="n">
        <v>0.00720164609053509</v>
      </c>
      <c r="S281" s="16" t="n">
        <v>0.0354194407456725</v>
      </c>
      <c r="V281" s="17" t="s">
        <v>51</v>
      </c>
      <c r="W281" s="18" t="n">
        <v>464.2762</v>
      </c>
      <c r="X281" s="18" t="n">
        <v>406.5</v>
      </c>
      <c r="Y281" s="16" t="n">
        <f aca="false">IF(AND(ISNUMBER(W281),ISNUMBER(X281)),X281/W281-1,"")</f>
        <v>-0.124443596290312</v>
      </c>
      <c r="Z281" s="16" t="n">
        <v>-0.116657256416776</v>
      </c>
      <c r="AA281" s="16" t="n">
        <v>0.0756230306502435</v>
      </c>
      <c r="AC281" s="16" t="n">
        <f aca="false">IF(AND(ISNUMBER(N281),ISNUMBER(AA281)),N281-AA281,"")</f>
        <v>0.0285047989103425</v>
      </c>
    </row>
    <row r="282" customFormat="false" ht="15" hidden="false" customHeight="false" outlineLevel="0" collapsed="false">
      <c r="A282" s="0" t="s">
        <v>772</v>
      </c>
      <c r="B282" s="0" t="s">
        <v>773</v>
      </c>
      <c r="C282" s="0" t="s">
        <v>31</v>
      </c>
      <c r="D282" s="15" t="n">
        <v>5021</v>
      </c>
      <c r="E282" s="15" t="n">
        <v>4742</v>
      </c>
      <c r="F282" s="15" t="n">
        <v>4425</v>
      </c>
      <c r="G282" s="15" t="n">
        <v>4657</v>
      </c>
      <c r="H282" s="15" t="n">
        <v>4554</v>
      </c>
      <c r="I282" s="15" t="n">
        <v>807</v>
      </c>
      <c r="J282" s="15" t="n">
        <v>793</v>
      </c>
      <c r="K282" s="15" t="n">
        <v>634</v>
      </c>
      <c r="L282" s="15" t="n">
        <v>511</v>
      </c>
      <c r="M282" s="15" t="n">
        <v>678</v>
      </c>
      <c r="N282" s="16" t="n">
        <v>0.102547211242863</v>
      </c>
      <c r="O282" s="16" t="n">
        <v>0.190265486725664</v>
      </c>
      <c r="P282" s="16" t="n">
        <v>0.0588359342049769</v>
      </c>
      <c r="Q282" s="16" t="n">
        <v>0.0716384180790961</v>
      </c>
      <c r="R282" s="16" t="n">
        <v>-0.049817479063775</v>
      </c>
      <c r="S282" s="16" t="n">
        <v>0.0226174791392182</v>
      </c>
      <c r="V282" s="17" t="s">
        <v>47</v>
      </c>
      <c r="W282" s="18" t="n">
        <v>952.93</v>
      </c>
      <c r="X282" s="18" t="n">
        <v>1270.67</v>
      </c>
      <c r="Y282" s="16" t="n">
        <f aca="false">IF(AND(ISNUMBER(W282),ISNUMBER(X282)),X282/W282-1,"")</f>
        <v>0.333434774852298</v>
      </c>
      <c r="Z282" s="16" t="n">
        <v>0.344453407327382</v>
      </c>
      <c r="AA282" s="16" t="n">
        <v>0.0561224489795917</v>
      </c>
      <c r="AC282" s="16" t="n">
        <f aca="false">IF(AND(ISNUMBER(N282),ISNUMBER(AA282)),N282-AA282,"")</f>
        <v>0.0464247622632717</v>
      </c>
    </row>
    <row r="283" customFormat="false" ht="15" hidden="false" customHeight="false" outlineLevel="0" collapsed="false">
      <c r="A283" s="0" t="s">
        <v>774</v>
      </c>
      <c r="B283" s="0" t="s">
        <v>775</v>
      </c>
      <c r="C283" s="0" t="s">
        <v>31</v>
      </c>
      <c r="D283" s="15" t="n">
        <v>3043</v>
      </c>
      <c r="E283" s="15" t="n">
        <v>2895</v>
      </c>
      <c r="F283" s="15" t="n">
        <v>2806</v>
      </c>
      <c r="G283" s="15" t="n">
        <v>2816</v>
      </c>
      <c r="H283" s="15" t="n">
        <v>2761</v>
      </c>
      <c r="I283" s="15" t="n">
        <v>459</v>
      </c>
      <c r="J283" s="15" t="n">
        <v>404</v>
      </c>
      <c r="K283" s="15" t="n">
        <v>386</v>
      </c>
      <c r="L283" s="15" t="n">
        <v>386</v>
      </c>
      <c r="M283" s="15" t="n">
        <v>438</v>
      </c>
      <c r="N283" s="16" t="n">
        <v>0.102136906917783</v>
      </c>
      <c r="O283" s="16" t="n">
        <v>0.047945205479452</v>
      </c>
      <c r="P283" s="16" t="n">
        <v>0.0511226252158894</v>
      </c>
      <c r="Q283" s="16" t="n">
        <v>0.0317177476835353</v>
      </c>
      <c r="R283" s="16" t="n">
        <v>-0.00355113636363635</v>
      </c>
      <c r="S283" s="16" t="n">
        <v>0.0199203187250996</v>
      </c>
      <c r="V283" s="17" t="s">
        <v>147</v>
      </c>
      <c r="W283" s="18" t="n">
        <v>186.82</v>
      </c>
      <c r="X283" s="18" t="n">
        <v>233</v>
      </c>
      <c r="Y283" s="16" t="n">
        <f aca="false">IF(AND(ISNUMBER(W283),ISNUMBER(X283)),X283/W283-1,"")</f>
        <v>0.247189808371695</v>
      </c>
      <c r="Z283" s="16" t="n">
        <v>0.269078221086683</v>
      </c>
      <c r="AA283" s="16" t="n">
        <v>0.151856487275761</v>
      </c>
      <c r="AC283" s="16" t="n">
        <f aca="false">IF(AND(ISNUMBER(N283),ISNUMBER(AA283)),N283-AA283,"")</f>
        <v>-0.049719580357978</v>
      </c>
    </row>
    <row r="284" customFormat="false" ht="15" hidden="false" customHeight="false" outlineLevel="0" collapsed="false">
      <c r="A284" s="0" t="s">
        <v>776</v>
      </c>
      <c r="B284" s="0" t="s">
        <v>777</v>
      </c>
      <c r="C284" s="0" t="s">
        <v>31</v>
      </c>
      <c r="D284" s="15" t="n">
        <v>7686</v>
      </c>
      <c r="E284" s="15" t="n">
        <v>7260</v>
      </c>
      <c r="F284" s="15" t="n">
        <v>7337</v>
      </c>
      <c r="G284" s="15" t="n">
        <v>7300</v>
      </c>
      <c r="H284" s="15" t="n">
        <v>6975</v>
      </c>
      <c r="N284" s="16" t="n">
        <v>0.101935483870968</v>
      </c>
      <c r="P284" s="16" t="n">
        <v>0.0586776859504132</v>
      </c>
      <c r="Q284" s="16" t="n">
        <v>-0.0104947526236882</v>
      </c>
      <c r="R284" s="16" t="n">
        <v>0.00506849315068503</v>
      </c>
      <c r="S284" s="16" t="n">
        <v>0.0465949820788532</v>
      </c>
      <c r="V284" s="17" t="s">
        <v>51</v>
      </c>
      <c r="W284" s="18" t="n">
        <v>49.18</v>
      </c>
      <c r="X284" s="18" t="n">
        <v>58.48</v>
      </c>
      <c r="Y284" s="16" t="n">
        <f aca="false">IF(AND(ISNUMBER(W284),ISNUMBER(X284)),X284/W284-1,"")</f>
        <v>0.189101260675071</v>
      </c>
      <c r="Z284" s="16" t="n">
        <v>0.236499169385642</v>
      </c>
      <c r="AA284" s="16" t="n">
        <v>0.019950487840396</v>
      </c>
      <c r="AC284" s="16" t="n">
        <f aca="false">IF(AND(ISNUMBER(N284),ISNUMBER(AA284)),N284-AA284,"")</f>
        <v>0.0819849960305718</v>
      </c>
    </row>
    <row r="285" customFormat="false" ht="15" hidden="false" customHeight="false" outlineLevel="0" collapsed="false">
      <c r="A285" s="0" t="s">
        <v>778</v>
      </c>
      <c r="B285" s="0" t="s">
        <v>779</v>
      </c>
      <c r="C285" s="0" t="s">
        <v>31</v>
      </c>
      <c r="D285" s="15" t="n">
        <v>22622</v>
      </c>
      <c r="E285" s="15" t="n">
        <v>21446</v>
      </c>
      <c r="F285" s="15" t="n">
        <v>21292</v>
      </c>
      <c r="G285" s="15" t="n">
        <v>21436</v>
      </c>
      <c r="H285" s="15" t="n">
        <v>20569</v>
      </c>
      <c r="N285" s="16" t="n">
        <v>0.0998103942826585</v>
      </c>
      <c r="P285" s="16" t="n">
        <v>0.0548354005408933</v>
      </c>
      <c r="Q285" s="16" t="n">
        <v>0.00723276347924107</v>
      </c>
      <c r="R285" s="16" t="n">
        <v>-0.00671767120731481</v>
      </c>
      <c r="S285" s="16" t="n">
        <v>0.0421508094705625</v>
      </c>
      <c r="V285" s="17" t="s">
        <v>51</v>
      </c>
      <c r="W285" s="18" t="n">
        <v>84.11</v>
      </c>
      <c r="X285" s="18" t="n">
        <v>81.9</v>
      </c>
      <c r="Y285" s="16" t="n">
        <f aca="false">IF(AND(ISNUMBER(W285),ISNUMBER(X285)),X285/W285-1,"")</f>
        <v>-0.0262751159196289</v>
      </c>
      <c r="Z285" s="16" t="n">
        <v>-0.00504143499187615</v>
      </c>
      <c r="AA285" s="16" t="n">
        <v>0.00642853690366851</v>
      </c>
      <c r="AC285" s="16" t="n">
        <f aca="false">IF(AND(ISNUMBER(N285),ISNUMBER(AA285)),N285-AA285,"")</f>
        <v>0.09338185737899</v>
      </c>
    </row>
    <row r="286" customFormat="false" ht="15" hidden="false" customHeight="false" outlineLevel="0" collapsed="false">
      <c r="A286" s="0" t="s">
        <v>780</v>
      </c>
      <c r="B286" s="0" t="s">
        <v>781</v>
      </c>
      <c r="C286" s="0" t="s">
        <v>31</v>
      </c>
      <c r="D286" s="15" t="n">
        <v>19637</v>
      </c>
      <c r="E286" s="15" t="n">
        <v>18908</v>
      </c>
      <c r="F286" s="15" t="n">
        <v>18981</v>
      </c>
      <c r="G286" s="15" t="n">
        <v>18426</v>
      </c>
      <c r="H286" s="15" t="n">
        <v>17856</v>
      </c>
      <c r="N286" s="16" t="n">
        <v>0.0997423835125448</v>
      </c>
      <c r="P286" s="16" t="n">
        <v>0.0385551089485932</v>
      </c>
      <c r="Q286" s="16" t="n">
        <v>-0.00384595121437226</v>
      </c>
      <c r="R286" s="16" t="n">
        <v>0.0301204819277108</v>
      </c>
      <c r="S286" s="16" t="n">
        <v>0.0319220430107527</v>
      </c>
      <c r="V286" s="17" t="s">
        <v>51</v>
      </c>
      <c r="W286" s="18" t="n">
        <v>340.48</v>
      </c>
      <c r="X286" s="18" t="n">
        <v>301.96</v>
      </c>
      <c r="Y286" s="16" t="n">
        <f aca="false">IF(AND(ISNUMBER(W286),ISNUMBER(X286)),X286/W286-1,"")</f>
        <v>-0.113134398496241</v>
      </c>
      <c r="Z286" s="16" t="n">
        <v>-0.10364819498977</v>
      </c>
      <c r="AA286" s="16" t="n">
        <v>0.0512324302301894</v>
      </c>
      <c r="AC286" s="16" t="n">
        <f aca="false">IF(AND(ISNUMBER(N286),ISNUMBER(AA286)),N286-AA286,"")</f>
        <v>0.0485099532823554</v>
      </c>
    </row>
    <row r="287" customFormat="false" ht="15" hidden="false" customHeight="false" outlineLevel="0" collapsed="false">
      <c r="A287" s="0" t="s">
        <v>782</v>
      </c>
      <c r="B287" s="0" t="s">
        <v>783</v>
      </c>
      <c r="C287" s="0" t="s">
        <v>31</v>
      </c>
      <c r="D287" s="15" t="n">
        <v>5967</v>
      </c>
      <c r="E287" s="15" t="n">
        <v>7242</v>
      </c>
      <c r="F287" s="15" t="n">
        <v>5412</v>
      </c>
      <c r="G287" s="15" t="n">
        <v>6705</v>
      </c>
      <c r="H287" s="15" t="n">
        <v>5427</v>
      </c>
      <c r="I287" s="15" t="n">
        <v>979</v>
      </c>
      <c r="J287" s="15" t="n">
        <v>1605</v>
      </c>
      <c r="K287" s="15" t="n">
        <v>1183</v>
      </c>
      <c r="L287" s="15" t="n">
        <v>1500</v>
      </c>
      <c r="M287" s="15" t="n">
        <v>925</v>
      </c>
      <c r="N287" s="16" t="n">
        <v>0.0995024875621891</v>
      </c>
      <c r="O287" s="16" t="n">
        <v>0.0583783783783785</v>
      </c>
      <c r="P287" s="16" t="n">
        <v>-0.176056338028169</v>
      </c>
      <c r="Q287" s="16" t="n">
        <v>0.338137472283814</v>
      </c>
      <c r="R287" s="16" t="n">
        <v>-0.192841163310962</v>
      </c>
      <c r="S287" s="16" t="n">
        <v>0.235489220563848</v>
      </c>
      <c r="V287" s="17" t="s">
        <v>134</v>
      </c>
      <c r="W287" s="18" t="n">
        <v>44.23</v>
      </c>
      <c r="X287" s="18" t="n">
        <v>40.69</v>
      </c>
      <c r="Y287" s="16" t="n">
        <f aca="false">IF(AND(ISNUMBER(W287),ISNUMBER(X287)),X287/W287-1,"")</f>
        <v>-0.0800361745421659</v>
      </c>
      <c r="Z287" s="16" t="n">
        <v>-0.0462597129758848</v>
      </c>
      <c r="AA287" s="16" t="n">
        <v>0.0123111359820929</v>
      </c>
      <c r="AC287" s="16" t="n">
        <f aca="false">IF(AND(ISNUMBER(N287),ISNUMBER(AA287)),N287-AA287,"")</f>
        <v>0.0871913515800962</v>
      </c>
    </row>
    <row r="288" customFormat="false" ht="15" hidden="false" customHeight="false" outlineLevel="0" collapsed="false">
      <c r="A288" s="0" t="s">
        <v>784</v>
      </c>
      <c r="B288" s="0" t="s">
        <v>785</v>
      </c>
      <c r="C288" s="0" t="s">
        <v>31</v>
      </c>
      <c r="D288" s="15" t="n">
        <v>53579</v>
      </c>
      <c r="E288" s="15" t="n">
        <v>49944</v>
      </c>
      <c r="F288" s="15" t="n">
        <v>49725</v>
      </c>
      <c r="G288" s="15" t="n">
        <v>49690</v>
      </c>
      <c r="H288" s="15" t="n">
        <v>48742</v>
      </c>
      <c r="I288" s="15" t="n">
        <v>1198</v>
      </c>
      <c r="J288" s="15" t="n">
        <v>1861</v>
      </c>
      <c r="K288" s="15" t="n">
        <v>-1232</v>
      </c>
      <c r="L288" s="15" t="n">
        <v>-211</v>
      </c>
      <c r="M288" s="15" t="n">
        <v>-403</v>
      </c>
      <c r="N288" s="16" t="n">
        <v>0.0992367978334907</v>
      </c>
      <c r="O288" s="20" t="s">
        <v>110</v>
      </c>
      <c r="P288" s="16" t="n">
        <v>0.0727815152971327</v>
      </c>
      <c r="Q288" s="16" t="n">
        <v>0.00440422322775258</v>
      </c>
      <c r="R288" s="16" t="n">
        <v>0.000704367075870405</v>
      </c>
      <c r="S288" s="16" t="n">
        <v>0.019449345533626</v>
      </c>
      <c r="V288" s="17" t="s">
        <v>147</v>
      </c>
      <c r="W288" s="18" t="n">
        <v>34.65</v>
      </c>
      <c r="X288" s="18" t="n">
        <v>62.08</v>
      </c>
      <c r="Y288" s="16" t="n">
        <f aca="false">IF(AND(ISNUMBER(W288),ISNUMBER(X288)),X288/W288-1,"")</f>
        <v>0.791630591630592</v>
      </c>
      <c r="Z288" s="16" t="n">
        <v>0.79163056557701</v>
      </c>
      <c r="AA288" s="16" t="n">
        <v>0.223566623154935</v>
      </c>
      <c r="AC288" s="16" t="n">
        <f aca="false">IF(AND(ISNUMBER(N288),ISNUMBER(AA288)),N288-AA288,"")</f>
        <v>-0.124329825321444</v>
      </c>
    </row>
    <row r="289" customFormat="false" ht="15" hidden="false" customHeight="false" outlineLevel="0" collapsed="false">
      <c r="A289" s="0" t="s">
        <v>786</v>
      </c>
      <c r="B289" s="0" t="s">
        <v>787</v>
      </c>
      <c r="C289" s="0" t="s">
        <v>31</v>
      </c>
      <c r="D289" s="15" t="n">
        <v>18877</v>
      </c>
      <c r="E289" s="15" t="n">
        <v>18616</v>
      </c>
      <c r="F289" s="15" t="n">
        <v>23291</v>
      </c>
      <c r="G289" s="15" t="n">
        <v>16881</v>
      </c>
      <c r="H289" s="15" t="n">
        <v>17176</v>
      </c>
      <c r="N289" s="16" t="n">
        <v>0.0990335351653471</v>
      </c>
      <c r="P289" s="16" t="n">
        <v>0.0140201976794157</v>
      </c>
      <c r="Q289" s="16" t="n">
        <v>-0.200721308659997</v>
      </c>
      <c r="R289" s="16" t="n">
        <v>0.379716841419347</v>
      </c>
      <c r="S289" s="16" t="n">
        <v>-0.017175128085701</v>
      </c>
      <c r="V289" s="17" t="s">
        <v>51</v>
      </c>
      <c r="W289" s="18" t="n">
        <v>80.64</v>
      </c>
      <c r="X289" s="18" t="n">
        <v>97.2</v>
      </c>
      <c r="Y289" s="16" t="n">
        <f aca="false">IF(AND(ISNUMBER(W289),ISNUMBER(X289)),X289/W289-1,"")</f>
        <v>0.205357142857143</v>
      </c>
      <c r="Z289" s="16" t="n">
        <v>0.23976629698072</v>
      </c>
      <c r="AA289" s="16" t="n">
        <v>-0.0270998148459856</v>
      </c>
      <c r="AC289" s="16" t="n">
        <f aca="false">IF(AND(ISNUMBER(N289),ISNUMBER(AA289)),N289-AA289,"")</f>
        <v>0.126133350011333</v>
      </c>
    </row>
    <row r="290" customFormat="false" ht="15" hidden="false" customHeight="false" outlineLevel="0" collapsed="false">
      <c r="A290" s="0" t="s">
        <v>788</v>
      </c>
      <c r="B290" s="0" t="s">
        <v>789</v>
      </c>
      <c r="C290" s="0" t="s">
        <v>31</v>
      </c>
      <c r="D290" s="15" t="n">
        <v>1662.5</v>
      </c>
      <c r="E290" s="15" t="n">
        <v>1560.1</v>
      </c>
      <c r="F290" s="15" t="n">
        <v>1612.3</v>
      </c>
      <c r="G290" s="15" t="n">
        <v>1539.5</v>
      </c>
      <c r="H290" s="15" t="n">
        <v>1513.7</v>
      </c>
      <c r="I290" s="15" t="n">
        <v>333.2</v>
      </c>
      <c r="J290" s="15" t="n">
        <v>294.2</v>
      </c>
      <c r="K290" s="15" t="n">
        <v>329.5</v>
      </c>
      <c r="L290" s="15" t="n">
        <v>282.8</v>
      </c>
      <c r="M290" s="15" t="n">
        <v>278.2</v>
      </c>
      <c r="N290" s="16" t="n">
        <v>0.0983021734821961</v>
      </c>
      <c r="O290" s="16" t="n">
        <v>0.197699496764917</v>
      </c>
      <c r="P290" s="16" t="n">
        <v>0.0656368181526825</v>
      </c>
      <c r="Q290" s="16" t="n">
        <v>-0.0323761086646406</v>
      </c>
      <c r="R290" s="16" t="n">
        <v>0.0472880805456317</v>
      </c>
      <c r="S290" s="16" t="n">
        <v>0.017044328466671</v>
      </c>
      <c r="V290" s="17" t="s">
        <v>34</v>
      </c>
      <c r="W290" s="18" t="n">
        <v>563.92</v>
      </c>
      <c r="X290" s="18" t="n">
        <v>621.05</v>
      </c>
      <c r="Y290" s="16" t="n">
        <f aca="false">IF(AND(ISNUMBER(W290),ISNUMBER(X290)),X290/W290-1,"")</f>
        <v>0.101308696268974</v>
      </c>
      <c r="Z290" s="16" t="n">
        <v>0.101308707997877</v>
      </c>
      <c r="AA290" s="16" t="n">
        <v>0.101593770467943</v>
      </c>
      <c r="AC290" s="16" t="n">
        <f aca="false">IF(AND(ISNUMBER(N290),ISNUMBER(AA290)),N290-AA290,"")</f>
        <v>-0.00329159698574655</v>
      </c>
    </row>
    <row r="291" customFormat="false" ht="15" hidden="false" customHeight="false" outlineLevel="0" collapsed="false">
      <c r="A291" s="0" t="s">
        <v>790</v>
      </c>
      <c r="B291" s="0" t="s">
        <v>791</v>
      </c>
      <c r="C291" s="0" t="s">
        <v>31</v>
      </c>
      <c r="D291" s="15" t="n">
        <v>3053</v>
      </c>
      <c r="E291" s="15" t="n">
        <v>3030</v>
      </c>
      <c r="F291" s="15" t="n">
        <v>3198</v>
      </c>
      <c r="G291" s="15" t="n">
        <v>2923</v>
      </c>
      <c r="H291" s="15" t="n">
        <v>2781</v>
      </c>
      <c r="I291" s="15" t="n">
        <v>1170</v>
      </c>
      <c r="J291" s="15" t="n">
        <v>1139</v>
      </c>
      <c r="K291" s="15" t="n">
        <v>1260</v>
      </c>
      <c r="L291" s="15" t="n">
        <v>1109</v>
      </c>
      <c r="M291" s="15" t="n">
        <v>945</v>
      </c>
      <c r="N291" s="16" t="n">
        <v>0.0978065444084861</v>
      </c>
      <c r="O291" s="16" t="n">
        <v>0.238095238095238</v>
      </c>
      <c r="P291" s="16" t="n">
        <v>0.00759075907590767</v>
      </c>
      <c r="Q291" s="16" t="n">
        <v>-0.0525328330206379</v>
      </c>
      <c r="R291" s="16" t="n">
        <v>0.0940814231953473</v>
      </c>
      <c r="S291" s="16" t="n">
        <v>0.0510607695073715</v>
      </c>
      <c r="V291" s="17" t="s">
        <v>80</v>
      </c>
      <c r="W291" s="18" t="n">
        <v>62.86</v>
      </c>
      <c r="X291" s="18" t="n">
        <v>71.11</v>
      </c>
      <c r="Y291" s="16" t="n">
        <f aca="false">IF(AND(ISNUMBER(W291),ISNUMBER(X291)),X291/W291-1,"")</f>
        <v>0.131244034362074</v>
      </c>
      <c r="Z291" s="16" t="n">
        <v>0.165696600436686</v>
      </c>
      <c r="AA291" s="16" t="n">
        <v>0.190496575342466</v>
      </c>
      <c r="AC291" s="16" t="n">
        <f aca="false">IF(AND(ISNUMBER(N291),ISNUMBER(AA291)),N291-AA291,"")</f>
        <v>-0.0926900309339796</v>
      </c>
    </row>
    <row r="292" customFormat="false" ht="15" hidden="false" customHeight="false" outlineLevel="0" collapsed="false">
      <c r="A292" s="0" t="s">
        <v>792</v>
      </c>
      <c r="B292" s="0" t="s">
        <v>793</v>
      </c>
      <c r="C292" s="0" t="s">
        <v>31</v>
      </c>
      <c r="D292" s="15" t="n">
        <v>5755</v>
      </c>
      <c r="E292" s="15" t="n">
        <v>5486</v>
      </c>
      <c r="F292" s="15" t="n">
        <v>5174</v>
      </c>
      <c r="G292" s="15" t="n">
        <v>5084</v>
      </c>
      <c r="H292" s="15" t="n">
        <v>5243.074</v>
      </c>
      <c r="I292" s="15" t="n">
        <v>1373</v>
      </c>
      <c r="J292" s="15" t="n">
        <v>1133</v>
      </c>
      <c r="K292" s="15" t="n">
        <v>1094</v>
      </c>
      <c r="L292" s="15" t="n">
        <v>1034</v>
      </c>
      <c r="M292" s="15" t="n">
        <v>1118.538</v>
      </c>
      <c r="N292" s="16" t="n">
        <v>0.0976385227444816</v>
      </c>
      <c r="O292" s="16" t="n">
        <v>0.227495176739637</v>
      </c>
      <c r="P292" s="16" t="n">
        <v>0.0490339044841415</v>
      </c>
      <c r="Q292" s="16" t="n">
        <v>0.0603015075376885</v>
      </c>
      <c r="R292" s="16" t="n">
        <v>0.0177025963808026</v>
      </c>
      <c r="S292" s="16" t="n">
        <v>-0.0303398349899314</v>
      </c>
      <c r="V292" s="17" t="s">
        <v>47</v>
      </c>
      <c r="W292" s="18" t="n">
        <v>748.76</v>
      </c>
      <c r="X292" s="18" t="n">
        <v>971.21</v>
      </c>
      <c r="Y292" s="16" t="n">
        <f aca="false">IF(AND(ISNUMBER(W292),ISNUMBER(X292)),X292/W292-1,"")</f>
        <v>0.297091190768738</v>
      </c>
      <c r="Z292" s="16" t="n">
        <v>0.307891286004336</v>
      </c>
      <c r="AA292" s="16" t="n">
        <v>0.0107697607711585</v>
      </c>
      <c r="AB292" s="17" t="s">
        <v>97</v>
      </c>
      <c r="AC292" s="16" t="n">
        <f aca="false">IF(AND(ISNUMBER(N292),ISNUMBER(AA292)),N292-AA292,"")</f>
        <v>0.0868687619733231</v>
      </c>
    </row>
    <row r="293" customFormat="false" ht="15" hidden="false" customHeight="false" outlineLevel="0" collapsed="false">
      <c r="A293" s="0" t="s">
        <v>794</v>
      </c>
      <c r="B293" s="0" t="s">
        <v>795</v>
      </c>
      <c r="C293" s="0" t="s">
        <v>31</v>
      </c>
      <c r="D293" s="15" t="n">
        <v>747.55</v>
      </c>
      <c r="E293" s="15" t="n">
        <v>734.112</v>
      </c>
      <c r="F293" s="15" t="n">
        <v>685.25</v>
      </c>
      <c r="G293" s="15" t="n">
        <v>688.166</v>
      </c>
      <c r="H293" s="15" t="n">
        <v>681.401</v>
      </c>
      <c r="I293" s="15" t="n">
        <v>188.266</v>
      </c>
      <c r="J293" s="15" t="n">
        <v>179.058</v>
      </c>
      <c r="K293" s="15" t="n">
        <v>187.37</v>
      </c>
      <c r="L293" s="15" t="n">
        <v>185.155</v>
      </c>
      <c r="M293" s="15" t="n">
        <v>192.244</v>
      </c>
      <c r="N293" s="16" t="n">
        <v>0.0970779320840445</v>
      </c>
      <c r="O293" s="16" t="n">
        <v>-0.0206924533405464</v>
      </c>
      <c r="P293" s="16" t="n">
        <v>0.0183051087572468</v>
      </c>
      <c r="Q293" s="16" t="n">
        <v>0.0713053630062022</v>
      </c>
      <c r="R293" s="16" t="n">
        <v>-0.00423734970922718</v>
      </c>
      <c r="S293" s="16" t="n">
        <v>0.00992807465794732</v>
      </c>
      <c r="V293" s="17" t="s">
        <v>535</v>
      </c>
      <c r="W293" s="18" t="n">
        <v>29.21</v>
      </c>
      <c r="X293" s="18" t="n">
        <v>26.93</v>
      </c>
      <c r="Y293" s="16" t="n">
        <f aca="false">IF(AND(ISNUMBER(W293),ISNUMBER(X293)),X293/W293-1,"")</f>
        <v>-0.078055460458747</v>
      </c>
      <c r="Z293" s="16" t="n">
        <v>-0.0372481168513608</v>
      </c>
      <c r="AA293" s="16" t="n">
        <v>0.0427729087567392</v>
      </c>
      <c r="AC293" s="16" t="n">
        <f aca="false">IF(AND(ISNUMBER(N293),ISNUMBER(AA293)),N293-AA293,"")</f>
        <v>0.0543050233273052</v>
      </c>
    </row>
    <row r="294" customFormat="false" ht="15" hidden="false" customHeight="false" outlineLevel="0" collapsed="false">
      <c r="A294" s="0" t="s">
        <v>796</v>
      </c>
      <c r="B294" s="0" t="s">
        <v>797</v>
      </c>
      <c r="C294" s="0" t="s">
        <v>31</v>
      </c>
      <c r="D294" s="15" t="n">
        <v>4415.4</v>
      </c>
      <c r="E294" s="15" t="n">
        <v>4066.1</v>
      </c>
      <c r="F294" s="15" t="n">
        <v>4196</v>
      </c>
      <c r="G294" s="15" t="n">
        <v>4165</v>
      </c>
      <c r="H294" s="15" t="n">
        <v>4025.2</v>
      </c>
      <c r="I294" s="15" t="n">
        <v>804.3</v>
      </c>
      <c r="J294" s="15" t="n">
        <v>668.4</v>
      </c>
      <c r="K294" s="15" t="n">
        <v>786.6</v>
      </c>
      <c r="L294" s="15" t="n">
        <v>786.4</v>
      </c>
      <c r="M294" s="15" t="n">
        <v>734.7</v>
      </c>
      <c r="N294" s="16" t="n">
        <v>0.0969392825201232</v>
      </c>
      <c r="O294" s="16" t="n">
        <v>0.0947325438954676</v>
      </c>
      <c r="P294" s="16" t="n">
        <v>0.0859054130493593</v>
      </c>
      <c r="Q294" s="16" t="n">
        <v>-0.0309580552907531</v>
      </c>
      <c r="R294" s="16" t="n">
        <v>0.00744297719087639</v>
      </c>
      <c r="S294" s="16" t="n">
        <v>0.0347311934810692</v>
      </c>
      <c r="V294" s="17" t="s">
        <v>104</v>
      </c>
      <c r="W294" s="18" t="n">
        <v>267</v>
      </c>
      <c r="X294" s="18" t="n">
        <v>276.72</v>
      </c>
      <c r="Y294" s="16" t="n">
        <f aca="false">IF(AND(ISNUMBER(W294),ISNUMBER(X294)),X294/W294-1,"")</f>
        <v>0.0364044943820225</v>
      </c>
      <c r="Z294" s="16" t="n">
        <v>0.0477116652188874</v>
      </c>
      <c r="AA294" s="16" t="n">
        <v>0.00988509207687294</v>
      </c>
      <c r="AC294" s="16" t="n">
        <f aca="false">IF(AND(ISNUMBER(N294),ISNUMBER(AA294)),N294-AA294,"")</f>
        <v>0.0870541904432503</v>
      </c>
    </row>
    <row r="295" customFormat="false" ht="15" hidden="false" customHeight="false" outlineLevel="0" collapsed="false">
      <c r="A295" s="0" t="s">
        <v>798</v>
      </c>
      <c r="B295" s="0" t="s">
        <v>799</v>
      </c>
      <c r="C295" s="0" t="s">
        <v>31</v>
      </c>
      <c r="D295" s="15" t="n">
        <v>1216.585</v>
      </c>
      <c r="E295" s="15" t="n">
        <v>1140.82</v>
      </c>
      <c r="F295" s="15" t="n">
        <v>1090.579</v>
      </c>
      <c r="G295" s="15" t="n">
        <v>1105.239</v>
      </c>
      <c r="H295" s="15" t="n">
        <v>1109.457</v>
      </c>
      <c r="I295" s="15" t="n">
        <v>425.566</v>
      </c>
      <c r="J295" s="15" t="n">
        <v>362.586</v>
      </c>
      <c r="K295" s="15" t="n">
        <v>315.605</v>
      </c>
      <c r="L295" s="15" t="n">
        <v>354.846</v>
      </c>
      <c r="M295" s="15" t="n">
        <v>373.046</v>
      </c>
      <c r="N295" s="16" t="n">
        <v>0.0965589473048527</v>
      </c>
      <c r="O295" s="16" t="n">
        <v>0.140786927081379</v>
      </c>
      <c r="P295" s="16" t="n">
        <v>0.0664127557371015</v>
      </c>
      <c r="Q295" s="16" t="n">
        <v>0.0460681894663293</v>
      </c>
      <c r="R295" s="16" t="n">
        <v>-0.0132640994391259</v>
      </c>
      <c r="S295" s="16" t="n">
        <v>-0.00380185982872705</v>
      </c>
      <c r="V295" s="17" t="s">
        <v>147</v>
      </c>
      <c r="W295" s="18" t="n">
        <v>627.17</v>
      </c>
      <c r="X295" s="18" t="n">
        <v>522.02</v>
      </c>
      <c r="Y295" s="16" t="n">
        <f aca="false">IF(AND(ISNUMBER(W295),ISNUMBER(X295)),X295/W295-1,"")</f>
        <v>-0.167657891799672</v>
      </c>
      <c r="Z295" s="16" t="n">
        <v>-0.167657837977187</v>
      </c>
      <c r="AA295" s="16" t="n">
        <v>0.105501515577265</v>
      </c>
      <c r="AB295" s="17" t="s">
        <v>32</v>
      </c>
      <c r="AC295" s="16" t="n">
        <f aca="false">IF(AND(ISNUMBER(N295),ISNUMBER(AA295)),N295-AA295,"")</f>
        <v>-0.0089425682724118</v>
      </c>
    </row>
    <row r="296" customFormat="false" ht="15" hidden="false" customHeight="false" outlineLevel="0" collapsed="false">
      <c r="A296" s="0" t="s">
        <v>800</v>
      </c>
      <c r="B296" s="0" t="s">
        <v>801</v>
      </c>
      <c r="C296" s="0" t="s">
        <v>31</v>
      </c>
      <c r="D296" s="15" t="n">
        <v>6589</v>
      </c>
      <c r="E296" s="15" t="n">
        <v>6020</v>
      </c>
      <c r="F296" s="15" t="n">
        <v>7171</v>
      </c>
      <c r="G296" s="15" t="n">
        <v>6057</v>
      </c>
      <c r="H296" s="15" t="n">
        <v>6022</v>
      </c>
      <c r="I296" s="15" t="n">
        <v>1660</v>
      </c>
      <c r="J296" s="15" t="n">
        <v>936</v>
      </c>
      <c r="K296" s="15" t="n">
        <v>1811</v>
      </c>
      <c r="L296" s="15" t="n">
        <v>1208</v>
      </c>
      <c r="M296" s="15" t="n">
        <v>1168</v>
      </c>
      <c r="N296" s="16" t="n">
        <v>0.0941547658585187</v>
      </c>
      <c r="O296" s="16" t="n">
        <v>0.421232876712329</v>
      </c>
      <c r="P296" s="16" t="n">
        <v>0.0945182724252491</v>
      </c>
      <c r="Q296" s="16" t="n">
        <v>-0.16050760005578</v>
      </c>
      <c r="R296" s="16" t="n">
        <v>0.183919432062077</v>
      </c>
      <c r="S296" s="16" t="n">
        <v>0.00581202258385916</v>
      </c>
      <c r="V296" s="17" t="s">
        <v>147</v>
      </c>
      <c r="W296" s="18" t="n">
        <v>371.22</v>
      </c>
      <c r="X296" s="18" t="n">
        <v>273.4</v>
      </c>
      <c r="Y296" s="16" t="n">
        <f aca="false">IF(AND(ISNUMBER(W296),ISNUMBER(X296)),X296/W296-1,"")</f>
        <v>-0.263509509185928</v>
      </c>
      <c r="Z296" s="16" t="n">
        <v>-0.256011067689194</v>
      </c>
      <c r="AA296" s="16" t="n">
        <v>0.110660272962007</v>
      </c>
      <c r="AC296" s="16" t="n">
        <f aca="false">IF(AND(ISNUMBER(N296),ISNUMBER(AA296)),N296-AA296,"")</f>
        <v>-0.0165055071034878</v>
      </c>
    </row>
    <row r="297" customFormat="false" ht="15" hidden="false" customHeight="false" outlineLevel="0" collapsed="false">
      <c r="A297" s="0" t="s">
        <v>802</v>
      </c>
      <c r="B297" s="0" t="s">
        <v>803</v>
      </c>
      <c r="C297" s="0" t="s">
        <v>31</v>
      </c>
      <c r="D297" s="15" t="n">
        <v>3454.2</v>
      </c>
      <c r="E297" s="15" t="n">
        <v>3420.1</v>
      </c>
      <c r="F297" s="15" t="n">
        <v>3350.4</v>
      </c>
      <c r="G297" s="15" t="n">
        <v>3231.5</v>
      </c>
      <c r="H297" s="15" t="n">
        <v>3158.4</v>
      </c>
      <c r="N297" s="16" t="n">
        <v>0.0936550151975684</v>
      </c>
      <c r="P297" s="16" t="n">
        <v>0.00997046869974572</v>
      </c>
      <c r="Q297" s="16" t="n">
        <v>0.0208034861509074</v>
      </c>
      <c r="R297" s="16" t="n">
        <v>0.0367940584867708</v>
      </c>
      <c r="S297" s="16" t="n">
        <v>0.0231446301925025</v>
      </c>
      <c r="V297" s="17" t="s">
        <v>51</v>
      </c>
      <c r="W297" s="18" t="n">
        <v>215.19</v>
      </c>
      <c r="X297" s="18" t="n">
        <v>266.97</v>
      </c>
      <c r="Y297" s="16" t="n">
        <f aca="false">IF(AND(ISNUMBER(W297),ISNUMBER(X297)),X297/W297-1,"")</f>
        <v>0.240624564338492</v>
      </c>
      <c r="Z297" s="16" t="n">
        <v>0.258656228789219</v>
      </c>
      <c r="AA297" s="16" t="n">
        <v>0.0798317891209956</v>
      </c>
      <c r="AC297" s="16" t="n">
        <f aca="false">IF(AND(ISNUMBER(N297),ISNUMBER(AA297)),N297-AA297,"")</f>
        <v>0.0138232260765727</v>
      </c>
    </row>
    <row r="298" customFormat="false" ht="15" hidden="false" customHeight="false" outlineLevel="0" collapsed="false">
      <c r="A298" s="0" t="s">
        <v>804</v>
      </c>
      <c r="B298" s="0" t="s">
        <v>805</v>
      </c>
      <c r="C298" s="0" t="s">
        <v>31</v>
      </c>
      <c r="D298" s="15" t="n">
        <v>9289</v>
      </c>
      <c r="E298" s="15" t="n">
        <v>8781</v>
      </c>
      <c r="F298" s="15" t="n">
        <v>8764</v>
      </c>
      <c r="G298" s="15" t="n">
        <v>8615</v>
      </c>
      <c r="H298" s="15" t="n">
        <v>8495</v>
      </c>
      <c r="I298" s="15" t="n">
        <v>2537</v>
      </c>
      <c r="J298" s="15" t="n">
        <v>2376</v>
      </c>
      <c r="K298" s="15" t="n">
        <v>2352</v>
      </c>
      <c r="L298" s="15" t="n">
        <v>2342</v>
      </c>
      <c r="M298" s="15" t="n">
        <v>2339</v>
      </c>
      <c r="N298" s="16" t="n">
        <v>0.0934667451442024</v>
      </c>
      <c r="O298" s="16" t="n">
        <v>0.0846515604959384</v>
      </c>
      <c r="P298" s="16" t="n">
        <v>0.0578521808450063</v>
      </c>
      <c r="Q298" s="16" t="n">
        <v>0.00193975353719766</v>
      </c>
      <c r="R298" s="16" t="n">
        <v>0.0172954149738829</v>
      </c>
      <c r="S298" s="16" t="n">
        <v>0.0141259564449676</v>
      </c>
      <c r="V298" s="17" t="s">
        <v>104</v>
      </c>
      <c r="W298" s="18" t="n">
        <v>474.13</v>
      </c>
      <c r="X298" s="18" t="n">
        <v>469.72</v>
      </c>
      <c r="Y298" s="16" t="n">
        <f aca="false">IF(AND(ISNUMBER(W298),ISNUMBER(X298)),X298/W298-1,"")</f>
        <v>-0.00930124649357766</v>
      </c>
      <c r="Z298" s="16" t="n">
        <v>0.0041382791835678</v>
      </c>
      <c r="AA298" s="16" t="n">
        <v>0.0275795330833435</v>
      </c>
      <c r="AC298" s="16" t="n">
        <f aca="false">IF(AND(ISNUMBER(N298),ISNUMBER(AA298)),N298-AA298,"")</f>
        <v>0.0658872120608589</v>
      </c>
    </row>
    <row r="299" customFormat="false" ht="15" hidden="false" customHeight="false" outlineLevel="0" collapsed="false">
      <c r="A299" s="0" t="s">
        <v>806</v>
      </c>
      <c r="B299" s="0" t="s">
        <v>807</v>
      </c>
      <c r="C299" s="0" t="s">
        <v>31</v>
      </c>
      <c r="D299" s="15" t="n">
        <v>6617.687</v>
      </c>
      <c r="E299" s="15" t="n">
        <v>6056.847</v>
      </c>
      <c r="F299" s="15" t="n">
        <v>6252.478</v>
      </c>
      <c r="G299" s="15" t="n">
        <v>6114.952</v>
      </c>
      <c r="H299" s="15" t="n">
        <v>6054.457</v>
      </c>
      <c r="I299" s="15" t="n">
        <v>1032.32</v>
      </c>
      <c r="J299" s="15" t="n">
        <v>328.135</v>
      </c>
      <c r="K299" s="15" t="n">
        <v>995.383</v>
      </c>
      <c r="L299" s="15" t="n">
        <v>772.895</v>
      </c>
      <c r="M299" s="15" t="n">
        <v>778.383</v>
      </c>
      <c r="N299" s="16" t="n">
        <v>0.0930273350690243</v>
      </c>
      <c r="O299" s="16" t="n">
        <v>0.326236569914811</v>
      </c>
      <c r="P299" s="16" t="n">
        <v>0.092596032226008</v>
      </c>
      <c r="Q299" s="16" t="n">
        <v>-0.0312885547138271</v>
      </c>
      <c r="R299" s="16" t="n">
        <v>0.0224901193010183</v>
      </c>
      <c r="S299" s="16" t="n">
        <v>0.00999181264314863</v>
      </c>
      <c r="V299" s="17" t="s">
        <v>51</v>
      </c>
      <c r="W299" s="18" t="n">
        <v>76.49</v>
      </c>
      <c r="X299" s="18" t="n">
        <v>74.68</v>
      </c>
      <c r="Y299" s="16" t="n">
        <f aca="false">IF(AND(ISNUMBER(W299),ISNUMBER(X299)),X299/W299-1,"")</f>
        <v>-0.0236632239508431</v>
      </c>
      <c r="Z299" s="16" t="n">
        <v>-0.023663192693735</v>
      </c>
      <c r="AA299" s="16" t="n">
        <v>-0.0164251425905315</v>
      </c>
      <c r="AC299" s="16" t="n">
        <f aca="false">IF(AND(ISNUMBER(N299),ISNUMBER(AA299)),N299-AA299,"")</f>
        <v>0.109452477659556</v>
      </c>
    </row>
    <row r="300" customFormat="false" ht="15" hidden="false" customHeight="false" outlineLevel="0" collapsed="false">
      <c r="A300" s="0" t="s">
        <v>808</v>
      </c>
      <c r="B300" s="0" t="s">
        <v>809</v>
      </c>
      <c r="C300" s="0" t="s">
        <v>31</v>
      </c>
      <c r="D300" s="15" t="n">
        <v>6614</v>
      </c>
      <c r="E300" s="15" t="n">
        <v>6142</v>
      </c>
      <c r="F300" s="15" t="n">
        <v>5797</v>
      </c>
      <c r="G300" s="15" t="n">
        <v>6442</v>
      </c>
      <c r="H300" s="15" t="n">
        <v>6052</v>
      </c>
      <c r="I300" s="15" t="n">
        <v>1067</v>
      </c>
      <c r="J300" s="15" t="n">
        <v>861</v>
      </c>
      <c r="K300" s="15" t="n">
        <v>853</v>
      </c>
      <c r="L300" s="15" t="n">
        <v>830</v>
      </c>
      <c r="M300" s="15" t="n">
        <v>829</v>
      </c>
      <c r="N300" s="16" t="n">
        <v>0.0928618638466623</v>
      </c>
      <c r="O300" s="16" t="n">
        <v>0.287092882991556</v>
      </c>
      <c r="P300" s="16" t="n">
        <v>0.076847932269619</v>
      </c>
      <c r="Q300" s="16" t="n">
        <v>0.0595135414869761</v>
      </c>
      <c r="R300" s="16" t="n">
        <v>-0.100124185035703</v>
      </c>
      <c r="S300" s="16" t="n">
        <v>0.0644415069398545</v>
      </c>
      <c r="V300" s="17" t="s">
        <v>47</v>
      </c>
      <c r="W300" s="18" t="n">
        <v>106.54</v>
      </c>
      <c r="X300" s="18" t="n">
        <v>145.9</v>
      </c>
      <c r="Y300" s="16" t="n">
        <f aca="false">IF(AND(ISNUMBER(W300),ISNUMBER(X300)),X300/W300-1,"")</f>
        <v>0.369438708466304</v>
      </c>
      <c r="Z300" s="16" t="n">
        <v>0.381317381861143</v>
      </c>
      <c r="AA300" s="16" t="n">
        <v>0.0261105459477788</v>
      </c>
      <c r="AC300" s="16" t="n">
        <f aca="false">IF(AND(ISNUMBER(N300),ISNUMBER(AA300)),N300-AA300,"")</f>
        <v>0.0667513178988834</v>
      </c>
    </row>
    <row r="301" customFormat="false" ht="15" hidden="false" customHeight="false" outlineLevel="0" collapsed="false">
      <c r="A301" s="0" t="s">
        <v>810</v>
      </c>
      <c r="B301" s="0" t="s">
        <v>811</v>
      </c>
      <c r="C301" s="0" t="s">
        <v>31</v>
      </c>
      <c r="D301" s="15" t="n">
        <v>1603.5</v>
      </c>
      <c r="E301" s="15" t="n">
        <v>1513.3</v>
      </c>
      <c r="F301" s="15" t="n">
        <v>1530.1</v>
      </c>
      <c r="G301" s="15" t="n">
        <v>1550.9</v>
      </c>
      <c r="H301" s="15" t="n">
        <v>1468.7</v>
      </c>
      <c r="I301" s="15" t="n">
        <v>299.8</v>
      </c>
      <c r="J301" s="15" t="n">
        <v>275.9</v>
      </c>
      <c r="K301" s="15" t="n">
        <v>258.9</v>
      </c>
      <c r="L301" s="15" t="n">
        <v>284</v>
      </c>
      <c r="M301" s="15" t="n">
        <v>242.6</v>
      </c>
      <c r="N301" s="16" t="n">
        <v>0.0917818478926942</v>
      </c>
      <c r="O301" s="16" t="n">
        <v>0.235779060181369</v>
      </c>
      <c r="P301" s="16" t="n">
        <v>0.0596048371109497</v>
      </c>
      <c r="Q301" s="16" t="n">
        <v>-0.0109796745310764</v>
      </c>
      <c r="R301" s="16" t="n">
        <v>-0.0134115674769488</v>
      </c>
      <c r="S301" s="16" t="n">
        <v>0.0559678627357527</v>
      </c>
      <c r="V301" s="17" t="s">
        <v>34</v>
      </c>
      <c r="W301" s="18" t="n">
        <v>50.94</v>
      </c>
      <c r="X301" s="18" t="n">
        <v>74.1</v>
      </c>
      <c r="Y301" s="16" t="n">
        <f aca="false">IF(AND(ISNUMBER(W301),ISNUMBER(X301)),X301/W301-1,"")</f>
        <v>0.454652532391048</v>
      </c>
      <c r="Z301" s="16" t="n">
        <v>0.454652541652579</v>
      </c>
      <c r="AA301" s="16" t="n">
        <v>-0.153584601198709</v>
      </c>
      <c r="AC301" s="16" t="n">
        <f aca="false">IF(AND(ISNUMBER(N301),ISNUMBER(AA301)),N301-AA301,"")</f>
        <v>0.245366449091403</v>
      </c>
    </row>
    <row r="302" customFormat="false" ht="15" hidden="false" customHeight="false" outlineLevel="0" collapsed="false">
      <c r="A302" s="0" t="s">
        <v>812</v>
      </c>
      <c r="B302" s="0" t="s">
        <v>813</v>
      </c>
      <c r="C302" s="0" t="s">
        <v>31</v>
      </c>
      <c r="D302" s="15" t="n">
        <v>2466</v>
      </c>
      <c r="E302" s="15" t="n">
        <v>2412</v>
      </c>
      <c r="F302" s="15" t="n">
        <v>2936</v>
      </c>
      <c r="G302" s="15" t="n">
        <v>2288</v>
      </c>
      <c r="H302" s="15" t="n">
        <v>2261</v>
      </c>
      <c r="I302" s="15" t="n">
        <v>425</v>
      </c>
      <c r="J302" s="15" t="n">
        <v>489</v>
      </c>
      <c r="K302" s="15" t="n">
        <v>1035</v>
      </c>
      <c r="L302" s="15" t="n">
        <v>420</v>
      </c>
      <c r="M302" s="15" t="n">
        <v>370</v>
      </c>
      <c r="N302" s="16" t="n">
        <v>0.0906678460858028</v>
      </c>
      <c r="O302" s="16" t="n">
        <v>0.148648648648649</v>
      </c>
      <c r="P302" s="16" t="n">
        <v>0.0223880597014925</v>
      </c>
      <c r="Q302" s="16" t="n">
        <v>-0.178474114441417</v>
      </c>
      <c r="R302" s="16" t="n">
        <v>0.283216783216783</v>
      </c>
      <c r="S302" s="16" t="n">
        <v>0.0119416187527643</v>
      </c>
      <c r="V302" s="17" t="s">
        <v>51</v>
      </c>
      <c r="W302" s="18" t="n">
        <v>343.5</v>
      </c>
      <c r="X302" s="18" t="n">
        <v>298.99</v>
      </c>
      <c r="Y302" s="16" t="n">
        <f aca="false">IF(AND(ISNUMBER(W302),ISNUMBER(X302)),X302/W302-1,"")</f>
        <v>-0.12957787481805</v>
      </c>
      <c r="Z302" s="16" t="n">
        <v>-0.118712022789542</v>
      </c>
      <c r="AA302" s="16" t="n">
        <v>-0.00176600441501107</v>
      </c>
      <c r="AC302" s="16" t="n">
        <f aca="false">IF(AND(ISNUMBER(N302),ISNUMBER(AA302)),N302-AA302,"")</f>
        <v>0.0924338505008139</v>
      </c>
    </row>
    <row r="303" customFormat="false" ht="15" hidden="false" customHeight="false" outlineLevel="0" collapsed="false">
      <c r="A303" s="0" t="s">
        <v>814</v>
      </c>
      <c r="B303" s="0" t="s">
        <v>815</v>
      </c>
      <c r="C303" s="0" t="s">
        <v>31</v>
      </c>
      <c r="D303" s="15" t="n">
        <v>2373</v>
      </c>
      <c r="E303" s="15" t="n">
        <v>2327</v>
      </c>
      <c r="F303" s="15" t="n">
        <v>1991</v>
      </c>
      <c r="G303" s="15" t="n">
        <v>2115</v>
      </c>
      <c r="H303" s="15" t="n">
        <v>2178</v>
      </c>
      <c r="I303" s="15" t="n">
        <v>1321</v>
      </c>
      <c r="J303" s="15" t="n">
        <v>1007</v>
      </c>
      <c r="K303" s="15" t="n">
        <v>640</v>
      </c>
      <c r="L303" s="15" t="n">
        <v>672</v>
      </c>
      <c r="M303" s="15" t="n">
        <v>671</v>
      </c>
      <c r="N303" s="16" t="n">
        <v>0.0895316804407713</v>
      </c>
      <c r="O303" s="16" t="n">
        <v>0.968703427719821</v>
      </c>
      <c r="P303" s="16" t="n">
        <v>0.0197679415556511</v>
      </c>
      <c r="Q303" s="16" t="n">
        <v>0.168759417378202</v>
      </c>
      <c r="R303" s="16" t="n">
        <v>-0.058628841607565</v>
      </c>
      <c r="S303" s="16" t="n">
        <v>-0.0289256198347108</v>
      </c>
      <c r="V303" s="17" t="s">
        <v>80</v>
      </c>
      <c r="W303" s="18" t="n">
        <v>24.42</v>
      </c>
      <c r="X303" s="18" t="n">
        <v>43.7</v>
      </c>
      <c r="Y303" s="16" t="n">
        <f aca="false">IF(AND(ISNUMBER(W303),ISNUMBER(X303)),X303/W303-1,"")</f>
        <v>0.78951678951679</v>
      </c>
      <c r="Z303" s="16" t="n">
        <v>0.851929903803275</v>
      </c>
      <c r="AA303" s="16"/>
      <c r="AC303" s="16" t="str">
        <f aca="false">IF(AND(ISNUMBER(N303),ISNUMBER(AA303)),N303-AA303,"")</f>
        <v/>
      </c>
    </row>
    <row r="304" customFormat="false" ht="15" hidden="false" customHeight="false" outlineLevel="0" collapsed="false">
      <c r="A304" s="0" t="s">
        <v>816</v>
      </c>
      <c r="B304" s="0" t="s">
        <v>817</v>
      </c>
      <c r="C304" s="0" t="s">
        <v>65</v>
      </c>
      <c r="D304" s="15" t="n">
        <v>2905.203</v>
      </c>
      <c r="E304" s="15" t="n">
        <v>2841.444</v>
      </c>
      <c r="F304" s="15" t="n">
        <v>2799.992</v>
      </c>
      <c r="G304" s="15" t="n">
        <v>2718.122</v>
      </c>
      <c r="H304" s="15" t="n">
        <v>2667.652</v>
      </c>
      <c r="I304" s="15" t="n">
        <v>688.171</v>
      </c>
      <c r="J304" s="15" t="n">
        <v>659.904</v>
      </c>
      <c r="K304" s="15" t="n">
        <v>655.714</v>
      </c>
      <c r="L304" s="15" t="n">
        <v>617.859</v>
      </c>
      <c r="M304" s="15" t="n">
        <v>597.452</v>
      </c>
      <c r="N304" s="16" t="n">
        <v>0.0890487214974067</v>
      </c>
      <c r="O304" s="16" t="n">
        <v>0.151843160622109</v>
      </c>
      <c r="P304" s="16" t="n">
        <v>0.0224389430162975</v>
      </c>
      <c r="Q304" s="16" t="n">
        <v>0.0148043280123658</v>
      </c>
      <c r="R304" s="16" t="n">
        <v>0.0301200608361214</v>
      </c>
      <c r="S304" s="16" t="n">
        <v>0.0189192593336762</v>
      </c>
      <c r="V304" s="17" t="s">
        <v>47</v>
      </c>
      <c r="W304" s="18" t="n">
        <v>200.04</v>
      </c>
      <c r="X304" s="18" t="n">
        <v>191.97</v>
      </c>
      <c r="Y304" s="16" t="n">
        <f aca="false">IF(AND(ISNUMBER(W304),ISNUMBER(X304)),X304/W304-1,"")</f>
        <v>-0.0403419316136773</v>
      </c>
      <c r="Z304" s="16" t="n">
        <v>-0.0306926058886775</v>
      </c>
      <c r="AA304" s="16" t="n">
        <v>0.0796123734537735</v>
      </c>
      <c r="AC304" s="16" t="n">
        <f aca="false">IF(AND(ISNUMBER(N304),ISNUMBER(AA304)),N304-AA304,"")</f>
        <v>0.00943634804363325</v>
      </c>
    </row>
    <row r="305" customFormat="false" ht="15" hidden="false" customHeight="false" outlineLevel="0" collapsed="false">
      <c r="A305" s="0" t="s">
        <v>818</v>
      </c>
      <c r="B305" s="0" t="s">
        <v>819</v>
      </c>
      <c r="C305" s="0" t="s">
        <v>31</v>
      </c>
      <c r="D305" s="15" t="n">
        <v>1876.6</v>
      </c>
      <c r="E305" s="15" t="n">
        <v>1920.6</v>
      </c>
      <c r="F305" s="15" t="n">
        <v>2502.4</v>
      </c>
      <c r="G305" s="15" t="n">
        <v>1704.6</v>
      </c>
      <c r="H305" s="15" t="n">
        <v>1723.2</v>
      </c>
      <c r="I305" s="15" t="n">
        <v>442.3</v>
      </c>
      <c r="N305" s="16" t="n">
        <v>0.0890204271123491</v>
      </c>
      <c r="P305" s="16" t="n">
        <v>-0.02290950744559</v>
      </c>
      <c r="Q305" s="16" t="n">
        <v>-0.232496803069054</v>
      </c>
      <c r="R305" s="16" t="n">
        <v>0.468027689780594</v>
      </c>
      <c r="S305" s="16" t="n">
        <v>-0.0107938718662952</v>
      </c>
      <c r="V305" s="17" t="s">
        <v>43</v>
      </c>
      <c r="W305" s="18" t="n">
        <v>113.42</v>
      </c>
      <c r="X305" s="18" t="n">
        <v>110.51</v>
      </c>
      <c r="Y305" s="16" t="n">
        <f aca="false">IF(AND(ISNUMBER(W305),ISNUMBER(X305)),X305/W305-1,"")</f>
        <v>-0.0256568506436254</v>
      </c>
      <c r="Z305" s="16" t="n">
        <v>-0.0131098054108751</v>
      </c>
      <c r="AA305" s="16" t="n">
        <v>0.0830243227955503</v>
      </c>
      <c r="AC305" s="16" t="n">
        <f aca="false">IF(AND(ISNUMBER(N305),ISNUMBER(AA305)),N305-AA305,"")</f>
        <v>0.00599610431679887</v>
      </c>
    </row>
    <row r="306" customFormat="false" ht="15" hidden="false" customHeight="false" outlineLevel="0" collapsed="false">
      <c r="A306" s="0" t="s">
        <v>820</v>
      </c>
      <c r="B306" s="0" t="s">
        <v>821</v>
      </c>
      <c r="C306" s="0" t="s">
        <v>38</v>
      </c>
      <c r="D306" s="15" t="n">
        <v>3035.676</v>
      </c>
      <c r="E306" s="15" t="n">
        <v>3163.857</v>
      </c>
      <c r="F306" s="15" t="n">
        <v>3898.361</v>
      </c>
      <c r="G306" s="15" t="n">
        <v>2857.623</v>
      </c>
      <c r="H306" s="15" t="n">
        <v>2788.469</v>
      </c>
      <c r="I306" s="15" t="n">
        <v>384.168</v>
      </c>
      <c r="J306" s="15" t="n">
        <v>452.921</v>
      </c>
      <c r="K306" s="15" t="n">
        <v>480.503</v>
      </c>
      <c r="L306" s="15" t="n">
        <v>314.745</v>
      </c>
      <c r="M306" s="15" t="n">
        <v>349.959</v>
      </c>
      <c r="N306" s="16" t="n">
        <v>0.0886533076035632</v>
      </c>
      <c r="O306" s="16" t="n">
        <v>0.0977514508842465</v>
      </c>
      <c r="P306" s="16" t="n">
        <v>-0.0405141572454129</v>
      </c>
      <c r="Q306" s="16" t="n">
        <v>-0.188413540972732</v>
      </c>
      <c r="R306" s="16" t="n">
        <v>0.364197096677903</v>
      </c>
      <c r="S306" s="16" t="n">
        <v>0.0247999888110644</v>
      </c>
      <c r="V306" s="17" t="s">
        <v>43</v>
      </c>
      <c r="W306" s="18" t="n">
        <v>535.61</v>
      </c>
      <c r="X306" s="18" t="n">
        <v>543.81</v>
      </c>
      <c r="Y306" s="16" t="n">
        <f aca="false">IF(AND(ISNUMBER(W306),ISNUMBER(X306)),X306/W306-1,"")</f>
        <v>0.015309646944605</v>
      </c>
      <c r="Z306" s="16" t="n">
        <v>0.0153096701542055</v>
      </c>
      <c r="AA306" s="16" t="n">
        <v>0.0926230179457048</v>
      </c>
      <c r="AC306" s="16" t="n">
        <f aca="false">IF(AND(ISNUMBER(N306),ISNUMBER(AA306)),N306-AA306,"")</f>
        <v>-0.00396971034214166</v>
      </c>
    </row>
    <row r="307" customFormat="false" ht="15" hidden="false" customHeight="false" outlineLevel="0" collapsed="false">
      <c r="A307" s="0" t="s">
        <v>822</v>
      </c>
      <c r="B307" s="0" t="s">
        <v>823</v>
      </c>
      <c r="C307" s="0" t="s">
        <v>31</v>
      </c>
      <c r="D307" s="15" t="n">
        <v>3678</v>
      </c>
      <c r="E307" s="15" t="n">
        <v>4202</v>
      </c>
      <c r="F307" s="15" t="n">
        <v>3797</v>
      </c>
      <c r="G307" s="15" t="n">
        <v>4148</v>
      </c>
      <c r="H307" s="15" t="n">
        <v>3380</v>
      </c>
      <c r="I307" s="15" t="n">
        <v>452</v>
      </c>
      <c r="J307" s="15" t="n">
        <v>828</v>
      </c>
      <c r="K307" s="15" t="n">
        <v>603</v>
      </c>
      <c r="L307" s="15" t="n">
        <v>830</v>
      </c>
      <c r="M307" s="15" t="n">
        <v>547</v>
      </c>
      <c r="N307" s="16" t="n">
        <v>0.0881656804733728</v>
      </c>
      <c r="O307" s="16" t="n">
        <v>-0.173674588665448</v>
      </c>
      <c r="P307" s="16" t="n">
        <v>-0.124702522608282</v>
      </c>
      <c r="Q307" s="16" t="n">
        <v>0.106663155122465</v>
      </c>
      <c r="R307" s="16" t="n">
        <v>-0.084619093539055</v>
      </c>
      <c r="S307" s="16" t="n">
        <v>0.227218934911243</v>
      </c>
      <c r="V307" s="17" t="s">
        <v>134</v>
      </c>
      <c r="W307" s="18" t="n">
        <v>44.08</v>
      </c>
      <c r="X307" s="18" t="n">
        <v>43.65</v>
      </c>
      <c r="Y307" s="16" t="n">
        <f aca="false">IF(AND(ISNUMBER(W307),ISNUMBER(X307)),X307/W307-1,"")</f>
        <v>-0.00975499092558985</v>
      </c>
      <c r="Z307" s="16" t="n">
        <v>0.0300290017259888</v>
      </c>
      <c r="AA307" s="16" t="n">
        <v>0.0304878048780488</v>
      </c>
      <c r="AC307" s="16" t="n">
        <f aca="false">IF(AND(ISNUMBER(N307),ISNUMBER(AA307)),N307-AA307,"")</f>
        <v>0.057677875595324</v>
      </c>
    </row>
    <row r="308" customFormat="false" ht="15" hidden="false" customHeight="false" outlineLevel="0" collapsed="false">
      <c r="A308" s="0" t="s">
        <v>824</v>
      </c>
      <c r="B308" s="0" t="s">
        <v>825</v>
      </c>
      <c r="C308" s="0" t="s">
        <v>31</v>
      </c>
      <c r="D308" s="15" t="n">
        <v>2172.6</v>
      </c>
      <c r="E308" s="15" t="n">
        <v>2205.6</v>
      </c>
      <c r="F308" s="15" t="n">
        <v>2123.2</v>
      </c>
      <c r="G308" s="15" t="n">
        <v>2025.4</v>
      </c>
      <c r="H308" s="15" t="n">
        <v>1997.9</v>
      </c>
      <c r="N308" s="16" t="n">
        <v>0.0874418139045998</v>
      </c>
      <c r="P308" s="16" t="n">
        <v>-0.014961915125136</v>
      </c>
      <c r="Q308" s="16" t="n">
        <v>0.0388093443858326</v>
      </c>
      <c r="R308" s="16" t="n">
        <v>0.0482867581712254</v>
      </c>
      <c r="S308" s="16" t="n">
        <v>0.0137644526753091</v>
      </c>
      <c r="V308" s="17" t="s">
        <v>51</v>
      </c>
      <c r="W308" s="18" t="n">
        <v>129.51</v>
      </c>
      <c r="X308" s="18" t="n">
        <v>173.99</v>
      </c>
      <c r="Y308" s="16" t="n">
        <f aca="false">IF(AND(ISNUMBER(W308),ISNUMBER(X308)),X308/W308-1,"")</f>
        <v>0.343448382364296</v>
      </c>
      <c r="Z308" s="16" t="n">
        <v>0.371894933042783</v>
      </c>
      <c r="AA308" s="16" t="n">
        <v>0.0557413600891863</v>
      </c>
      <c r="AC308" s="16" t="n">
        <f aca="false">IF(AND(ISNUMBER(N308),ISNUMBER(AA308)),N308-AA308,"")</f>
        <v>0.0317004538154135</v>
      </c>
    </row>
    <row r="309" customFormat="false" ht="15" hidden="false" customHeight="false" outlineLevel="0" collapsed="false">
      <c r="A309" s="0" t="s">
        <v>826</v>
      </c>
      <c r="B309" s="0" t="s">
        <v>827</v>
      </c>
      <c r="C309" s="0" t="s">
        <v>31</v>
      </c>
      <c r="D309" s="15" t="n">
        <v>4368</v>
      </c>
      <c r="E309" s="15" t="n">
        <v>4151</v>
      </c>
      <c r="F309" s="15" t="n">
        <v>4364</v>
      </c>
      <c r="G309" s="15" t="n">
        <v>4100</v>
      </c>
      <c r="H309" s="15" t="n">
        <v>4017</v>
      </c>
      <c r="I309" s="15" t="n">
        <v>569</v>
      </c>
      <c r="J309" s="15" t="n">
        <v>565</v>
      </c>
      <c r="K309" s="15" t="n">
        <v>651</v>
      </c>
      <c r="L309" s="15" t="n">
        <v>573</v>
      </c>
      <c r="M309" s="15" t="n">
        <v>538</v>
      </c>
      <c r="N309" s="16" t="n">
        <v>0.087378640776699</v>
      </c>
      <c r="O309" s="16" t="n">
        <v>0.0576208178438662</v>
      </c>
      <c r="P309" s="16" t="n">
        <v>0.0522765598650927</v>
      </c>
      <c r="Q309" s="16" t="n">
        <v>-0.0488084326306141</v>
      </c>
      <c r="R309" s="16" t="n">
        <v>0.0643902439024391</v>
      </c>
      <c r="S309" s="16" t="n">
        <v>0.0206621857107294</v>
      </c>
      <c r="V309" s="17" t="s">
        <v>147</v>
      </c>
      <c r="W309" s="18" t="n">
        <v>181.24</v>
      </c>
      <c r="X309" s="18" t="n">
        <v>267.86</v>
      </c>
      <c r="Y309" s="16" t="n">
        <f aca="false">IF(AND(ISNUMBER(W309),ISNUMBER(X309)),X309/W309-1,"")</f>
        <v>0.47792981681748</v>
      </c>
      <c r="Z309" s="16" t="n">
        <v>0.477929691199803</v>
      </c>
      <c r="AA309" s="16" t="n">
        <v>0.0532249606712114</v>
      </c>
      <c r="AC309" s="16" t="n">
        <f aca="false">IF(AND(ISNUMBER(N309),ISNUMBER(AA309)),N309-AA309,"")</f>
        <v>0.0341536801054876</v>
      </c>
    </row>
    <row r="310" customFormat="false" ht="15" hidden="false" customHeight="false" outlineLevel="0" collapsed="false">
      <c r="A310" s="0" t="s">
        <v>828</v>
      </c>
      <c r="B310" s="0" t="s">
        <v>829</v>
      </c>
      <c r="C310" s="0" t="s">
        <v>31</v>
      </c>
      <c r="D310" s="15" t="n">
        <v>20230</v>
      </c>
      <c r="E310" s="15" t="n">
        <v>19109</v>
      </c>
      <c r="F310" s="15" t="n">
        <v>19513</v>
      </c>
      <c r="G310" s="15" t="n">
        <v>19161</v>
      </c>
      <c r="H310" s="15" t="n">
        <v>18605</v>
      </c>
      <c r="I310" s="15" t="n">
        <v>3067</v>
      </c>
      <c r="J310" s="15" t="n">
        <v>2863</v>
      </c>
      <c r="K310" s="15" t="n">
        <v>3178</v>
      </c>
      <c r="L310" s="15" t="n">
        <v>2965</v>
      </c>
      <c r="M310" s="15" t="n">
        <v>2967</v>
      </c>
      <c r="N310" s="16" t="n">
        <v>0.0873421123353937</v>
      </c>
      <c r="O310" s="16" t="n">
        <v>0.0337040781934614</v>
      </c>
      <c r="P310" s="16" t="n">
        <v>0.0586634570097859</v>
      </c>
      <c r="Q310" s="16" t="n">
        <v>-0.0207041459539794</v>
      </c>
      <c r="R310" s="16" t="n">
        <v>0.0183706487135327</v>
      </c>
      <c r="S310" s="16" t="n">
        <v>0.0298844396667564</v>
      </c>
      <c r="V310" s="17" t="s">
        <v>147</v>
      </c>
      <c r="W310" s="18" t="n">
        <v>416.62</v>
      </c>
      <c r="X310" s="18" t="n">
        <v>436.48</v>
      </c>
      <c r="Y310" s="16" t="n">
        <f aca="false">IF(AND(ISNUMBER(W310),ISNUMBER(X310)),X310/W310-1,"")</f>
        <v>0.0476693389659642</v>
      </c>
      <c r="Z310" s="16" t="n">
        <v>0.0548355162404706</v>
      </c>
      <c r="AA310" s="16" t="n">
        <v>0.0636290875828951</v>
      </c>
      <c r="AC310" s="16" t="n">
        <f aca="false">IF(AND(ISNUMBER(N310),ISNUMBER(AA310)),N310-AA310,"")</f>
        <v>0.0237130247524986</v>
      </c>
    </row>
    <row r="311" customFormat="false" ht="15" hidden="false" customHeight="false" outlineLevel="0" collapsed="false">
      <c r="A311" s="0" t="s">
        <v>830</v>
      </c>
      <c r="B311" s="0" t="s">
        <v>831</v>
      </c>
      <c r="C311" s="0" t="s">
        <v>31</v>
      </c>
      <c r="D311" s="15" t="n">
        <v>1463.647</v>
      </c>
      <c r="E311" s="15" t="n">
        <v>1431.406</v>
      </c>
      <c r="F311" s="15" t="n">
        <v>1422.808</v>
      </c>
      <c r="G311" s="15" t="n">
        <v>1335.582</v>
      </c>
      <c r="H311" s="15" t="n">
        <v>1347.993</v>
      </c>
      <c r="I311" s="15" t="n">
        <v>448.712</v>
      </c>
      <c r="J311" s="15" t="n">
        <v>499.81</v>
      </c>
      <c r="K311" s="15" t="n">
        <v>497.595</v>
      </c>
      <c r="L311" s="15" t="n">
        <v>462.347</v>
      </c>
      <c r="M311" s="15" t="n">
        <v>456.571</v>
      </c>
      <c r="N311" s="16" t="n">
        <v>0.0857971814393694</v>
      </c>
      <c r="O311" s="16" t="n">
        <v>-0.0172130950060341</v>
      </c>
      <c r="P311" s="16" t="n">
        <v>0.0225240078635971</v>
      </c>
      <c r="Q311" s="16" t="n">
        <v>0.00604297979769575</v>
      </c>
      <c r="R311" s="16" t="n">
        <v>0.0653093557714914</v>
      </c>
      <c r="S311" s="16" t="n">
        <v>-0.00920702110470895</v>
      </c>
      <c r="V311" s="17" t="s">
        <v>147</v>
      </c>
      <c r="W311" s="18" t="n">
        <v>274.19</v>
      </c>
      <c r="X311" s="18" t="n">
        <v>222.3</v>
      </c>
      <c r="Y311" s="16" t="n">
        <f aca="false">IF(AND(ISNUMBER(W311),ISNUMBER(X311)),X311/W311-1,"")</f>
        <v>-0.189248331448995</v>
      </c>
      <c r="Z311" s="16" t="n">
        <v>-0.180670805270917</v>
      </c>
      <c r="AA311" s="16" t="n">
        <v>0.102026250924832</v>
      </c>
      <c r="AC311" s="16" t="n">
        <f aca="false">IF(AND(ISNUMBER(N311),ISNUMBER(AA311)),N311-AA311,"")</f>
        <v>-0.0162290694854628</v>
      </c>
    </row>
    <row r="312" customFormat="false" ht="15" hidden="false" customHeight="false" outlineLevel="0" collapsed="false">
      <c r="A312" s="0" t="s">
        <v>832</v>
      </c>
      <c r="B312" s="0" t="s">
        <v>833</v>
      </c>
      <c r="C312" s="0" t="s">
        <v>31</v>
      </c>
      <c r="D312" s="15" t="n">
        <v>2108.9</v>
      </c>
      <c r="E312" s="15" t="n">
        <v>2095.3</v>
      </c>
      <c r="F312" s="15" t="n">
        <v>2058.6</v>
      </c>
      <c r="G312" s="15" t="n">
        <v>2017.5</v>
      </c>
      <c r="H312" s="15" t="n">
        <v>1943.6</v>
      </c>
      <c r="I312" s="15" t="n">
        <v>584.7</v>
      </c>
      <c r="J312" s="15" t="n">
        <v>569.6</v>
      </c>
      <c r="K312" s="15" t="n">
        <v>588.3</v>
      </c>
      <c r="L312" s="15" t="n">
        <v>573</v>
      </c>
      <c r="M312" s="15" t="n">
        <v>548.3</v>
      </c>
      <c r="N312" s="16" t="n">
        <v>0.0850483638608768</v>
      </c>
      <c r="O312" s="16" t="n">
        <v>0.0663870144081706</v>
      </c>
      <c r="P312" s="16" t="n">
        <v>0.00649071731971551</v>
      </c>
      <c r="Q312" s="16" t="n">
        <v>0.0178276498591277</v>
      </c>
      <c r="R312" s="16" t="n">
        <v>0.0203717472118958</v>
      </c>
      <c r="S312" s="16" t="n">
        <v>0.0380222267956369</v>
      </c>
      <c r="V312" s="17" t="s">
        <v>34</v>
      </c>
      <c r="W312" s="18" t="n">
        <v>505.68</v>
      </c>
      <c r="X312" s="18" t="n">
        <v>366.36</v>
      </c>
      <c r="Y312" s="16" t="n">
        <f aca="false">IF(AND(ISNUMBER(W312),ISNUMBER(X312)),X312/W312-1,"")</f>
        <v>-0.275510204081633</v>
      </c>
      <c r="Z312" s="16" t="n">
        <v>-0.269138320059994</v>
      </c>
      <c r="AA312" s="16" t="n">
        <v>0.13210624417521</v>
      </c>
      <c r="AC312" s="16" t="n">
        <f aca="false">IF(AND(ISNUMBER(N312),ISNUMBER(AA312)),N312-AA312,"")</f>
        <v>-0.0470578803143329</v>
      </c>
    </row>
    <row r="313" customFormat="false" ht="15" hidden="false" customHeight="false" outlineLevel="0" collapsed="false">
      <c r="A313" s="0" t="s">
        <v>834</v>
      </c>
      <c r="B313" s="0" t="s">
        <v>835</v>
      </c>
      <c r="C313" s="0" t="s">
        <v>31</v>
      </c>
      <c r="D313" s="15" t="n">
        <v>5881</v>
      </c>
      <c r="E313" s="15" t="n">
        <v>5744</v>
      </c>
      <c r="F313" s="15" t="n">
        <v>5648</v>
      </c>
      <c r="G313" s="15" t="n">
        <v>5659</v>
      </c>
      <c r="H313" s="15" t="n">
        <v>5426</v>
      </c>
      <c r="I313" s="15" t="n">
        <v>664</v>
      </c>
      <c r="J313" s="15" t="n">
        <v>642</v>
      </c>
      <c r="K313" s="15" t="n">
        <v>376</v>
      </c>
      <c r="L313" s="15" t="n">
        <v>631</v>
      </c>
      <c r="M313" s="15" t="n">
        <v>584</v>
      </c>
      <c r="N313" s="16" t="n">
        <v>0.0838555105049761</v>
      </c>
      <c r="O313" s="16" t="n">
        <v>0.136986301369863</v>
      </c>
      <c r="P313" s="16" t="n">
        <v>0.0238509749303622</v>
      </c>
      <c r="Q313" s="16" t="n">
        <v>0.0169971671388103</v>
      </c>
      <c r="R313" s="16" t="n">
        <v>-0.00194380632620606</v>
      </c>
      <c r="S313" s="16" t="n">
        <v>0.0429413932915592</v>
      </c>
      <c r="V313" s="17" t="s">
        <v>47</v>
      </c>
      <c r="W313" s="18" t="n">
        <v>284</v>
      </c>
      <c r="X313" s="18" t="n">
        <v>239.21</v>
      </c>
      <c r="Y313" s="16" t="n">
        <f aca="false">IF(AND(ISNUMBER(W313),ISNUMBER(X313)),X313/W313-1,"")</f>
        <v>-0.157711267605634</v>
      </c>
      <c r="Z313" s="16" t="n">
        <v>-0.14373616690956</v>
      </c>
      <c r="AA313" s="16" t="n">
        <v>0.0239667861860728</v>
      </c>
      <c r="AC313" s="16" t="n">
        <f aca="false">IF(AND(ISNUMBER(N313),ISNUMBER(AA313)),N313-AA313,"")</f>
        <v>0.0598887243189032</v>
      </c>
    </row>
    <row r="314" customFormat="false" ht="15" hidden="false" customHeight="false" outlineLevel="0" collapsed="false">
      <c r="A314" s="0" t="s">
        <v>836</v>
      </c>
      <c r="B314" s="0" t="s">
        <v>837</v>
      </c>
      <c r="C314" s="0" t="s">
        <v>132</v>
      </c>
      <c r="D314" s="15" t="n">
        <v>412.453</v>
      </c>
      <c r="E314" s="15" t="n">
        <v>404.194</v>
      </c>
      <c r="F314" s="15" t="n">
        <v>387.57</v>
      </c>
      <c r="G314" s="15" t="n">
        <v>380.848</v>
      </c>
      <c r="H314" s="15" t="n">
        <v>380.912</v>
      </c>
      <c r="I314" s="15" t="n">
        <v>154.714</v>
      </c>
      <c r="J314" s="15" t="n">
        <v>148.014</v>
      </c>
      <c r="K314" s="15" t="n">
        <v>143.39</v>
      </c>
      <c r="L314" s="15" t="n">
        <v>145.63</v>
      </c>
      <c r="M314" s="15" t="n">
        <v>146.031</v>
      </c>
      <c r="N314" s="16" t="n">
        <v>0.0828039022136347</v>
      </c>
      <c r="O314" s="16" t="n">
        <v>0.059459977675973</v>
      </c>
      <c r="P314" s="16" t="n">
        <v>0.0204332572972386</v>
      </c>
      <c r="Q314" s="16" t="n">
        <v>0.0428928967670357</v>
      </c>
      <c r="R314" s="16" t="n">
        <v>0.017650086123598</v>
      </c>
      <c r="S314" s="16" t="n">
        <v>-0.000168017809887844</v>
      </c>
      <c r="V314" s="17" t="s">
        <v>535</v>
      </c>
      <c r="W314" s="18" t="n">
        <v>71.38</v>
      </c>
      <c r="X314" s="18" t="n">
        <v>72.73</v>
      </c>
      <c r="Y314" s="16" t="n">
        <f aca="false">IF(AND(ISNUMBER(W314),ISNUMBER(X314)),X314/W314-1,"")</f>
        <v>0.0189128607453068</v>
      </c>
      <c r="Z314" s="16" t="n">
        <v>0.0609071355541728</v>
      </c>
      <c r="AA314" s="16" t="n">
        <v>0.0660545836249125</v>
      </c>
      <c r="AC314" s="16" t="n">
        <f aca="false">IF(AND(ISNUMBER(N314),ISNUMBER(AA314)),N314-AA314,"")</f>
        <v>0.0167493185887222</v>
      </c>
    </row>
    <row r="315" customFormat="false" ht="15" hidden="false" customHeight="false" outlineLevel="0" collapsed="false">
      <c r="A315" s="0" t="s">
        <v>838</v>
      </c>
      <c r="B315" s="0" t="s">
        <v>839</v>
      </c>
      <c r="C315" s="0" t="s">
        <v>31</v>
      </c>
      <c r="D315" s="15" t="n">
        <v>4638.012</v>
      </c>
      <c r="E315" s="15" t="n">
        <v>4495.182</v>
      </c>
      <c r="F315" s="15" t="n">
        <v>4486.048</v>
      </c>
      <c r="G315" s="15" t="n">
        <v>4495.245</v>
      </c>
      <c r="H315" s="15" t="n">
        <v>4283.816</v>
      </c>
      <c r="I315" s="15" t="n">
        <v>516.675</v>
      </c>
      <c r="J315" s="15" t="n">
        <v>502.86</v>
      </c>
      <c r="K315" s="15" t="n">
        <v>517.232</v>
      </c>
      <c r="L315" s="15" t="n">
        <v>521.688</v>
      </c>
      <c r="M315" s="15" t="n">
        <v>500.27</v>
      </c>
      <c r="N315" s="16" t="n">
        <v>0.0826823561049308</v>
      </c>
      <c r="O315" s="16" t="n">
        <v>0.0327922921622323</v>
      </c>
      <c r="P315" s="16" t="n">
        <v>0.03177401938342</v>
      </c>
      <c r="Q315" s="16" t="n">
        <v>0.00203609056345355</v>
      </c>
      <c r="R315" s="16" t="n">
        <v>-0.00204593965401223</v>
      </c>
      <c r="S315" s="16" t="n">
        <v>0.0493552944384166</v>
      </c>
      <c r="V315" s="17" t="s">
        <v>147</v>
      </c>
      <c r="W315" s="18" t="n">
        <v>199.7</v>
      </c>
      <c r="X315" s="18" t="n">
        <v>181.39</v>
      </c>
      <c r="Y315" s="16" t="n">
        <f aca="false">IF(AND(ISNUMBER(W315),ISNUMBER(X315)),X315/W315-1,"")</f>
        <v>-0.0916875312969454</v>
      </c>
      <c r="Z315" s="16" t="n">
        <v>-0.0877316159031684</v>
      </c>
      <c r="AA315" s="16" t="n">
        <v>0.0962769001157742</v>
      </c>
      <c r="AC315" s="16" t="n">
        <f aca="false">IF(AND(ISNUMBER(N315),ISNUMBER(AA315)),N315-AA315,"")</f>
        <v>-0.0135945440108434</v>
      </c>
    </row>
    <row r="316" customFormat="false" ht="15" hidden="false" customHeight="false" outlineLevel="0" collapsed="false">
      <c r="A316" s="0" t="s">
        <v>840</v>
      </c>
      <c r="B316" s="0" t="s">
        <v>841</v>
      </c>
      <c r="C316" s="0" t="s">
        <v>132</v>
      </c>
      <c r="D316" s="15" t="n">
        <v>10080</v>
      </c>
      <c r="E316" s="15" t="n">
        <v>10496</v>
      </c>
      <c r="F316" s="15" t="n">
        <v>9744</v>
      </c>
      <c r="G316" s="15" t="n">
        <v>8984</v>
      </c>
      <c r="H316" s="15" t="n">
        <v>9313</v>
      </c>
      <c r="I316" s="15" t="n">
        <v>860</v>
      </c>
      <c r="J316" s="15" t="n">
        <v>979</v>
      </c>
      <c r="K316" s="15" t="n">
        <v>785</v>
      </c>
      <c r="L316" s="15" t="n">
        <v>1174</v>
      </c>
      <c r="M316" s="15" t="n">
        <v>682</v>
      </c>
      <c r="N316" s="16" t="n">
        <v>0.0823579942016537</v>
      </c>
      <c r="O316" s="16" t="n">
        <v>0.26099706744868</v>
      </c>
      <c r="P316" s="16" t="n">
        <v>-0.0396341463414635</v>
      </c>
      <c r="Q316" s="16" t="n">
        <v>0.0771756978653531</v>
      </c>
      <c r="R316" s="16" t="n">
        <v>0.0845948352626893</v>
      </c>
      <c r="S316" s="16" t="n">
        <v>-0.0353269623107484</v>
      </c>
      <c r="V316" s="17" t="s">
        <v>84</v>
      </c>
      <c r="W316" s="18" t="n">
        <v>64.39</v>
      </c>
      <c r="X316" s="18" t="n">
        <v>61.44</v>
      </c>
      <c r="Y316" s="16" t="n">
        <f aca="false">IF(AND(ISNUMBER(W316),ISNUMBER(X316)),X316/W316-1,"")</f>
        <v>-0.0458145674794224</v>
      </c>
      <c r="Z316" s="16" t="n">
        <v>-0.0126686498960202</v>
      </c>
      <c r="AA316" s="16" t="n">
        <v>0.0768308761836269</v>
      </c>
      <c r="AC316" s="16" t="n">
        <f aca="false">IF(AND(ISNUMBER(N316),ISNUMBER(AA316)),N316-AA316,"")</f>
        <v>0.00552711801802674</v>
      </c>
    </row>
    <row r="317" customFormat="false" ht="15" hidden="false" customHeight="false" outlineLevel="0" collapsed="false">
      <c r="A317" s="0" t="s">
        <v>842</v>
      </c>
      <c r="B317" s="0" t="s">
        <v>843</v>
      </c>
      <c r="C317" s="0" t="s">
        <v>31</v>
      </c>
      <c r="D317" s="15" t="n">
        <v>645.096</v>
      </c>
      <c r="E317" s="15" t="n">
        <v>613.503</v>
      </c>
      <c r="F317" s="15" t="n">
        <v>575.179</v>
      </c>
      <c r="G317" s="15" t="n">
        <v>595.879</v>
      </c>
      <c r="H317" s="15" t="n">
        <v>596.117</v>
      </c>
      <c r="I317" s="15" t="n">
        <v>95.095</v>
      </c>
      <c r="J317" s="15" t="n">
        <v>99.812</v>
      </c>
      <c r="K317" s="15" t="n">
        <v>74.975</v>
      </c>
      <c r="L317" s="15" t="n">
        <v>97.932</v>
      </c>
      <c r="M317" s="15" t="n">
        <v>95.596</v>
      </c>
      <c r="N317" s="16" t="n">
        <v>0.0821634008089016</v>
      </c>
      <c r="O317" s="16" t="n">
        <v>-0.00524080505460478</v>
      </c>
      <c r="P317" s="16" t="n">
        <v>0.0514960807037619</v>
      </c>
      <c r="Q317" s="16" t="n">
        <v>0.0666296926695864</v>
      </c>
      <c r="R317" s="16" t="n">
        <v>-0.0347385962586364</v>
      </c>
      <c r="S317" s="16" t="n">
        <v>-0.000399250482707281</v>
      </c>
      <c r="V317" s="17" t="s">
        <v>34</v>
      </c>
      <c r="W317" s="18" t="n">
        <v>522.89</v>
      </c>
      <c r="X317" s="18" t="n">
        <v>332.53</v>
      </c>
      <c r="Y317" s="16" t="n">
        <f aca="false">IF(AND(ISNUMBER(W317),ISNUMBER(X317)),X317/W317-1,"")</f>
        <v>-0.364053625045421</v>
      </c>
      <c r="Z317" s="16" t="n">
        <v>-0.364053645195593</v>
      </c>
      <c r="AA317" s="16" t="n">
        <v>0.101928736210109</v>
      </c>
      <c r="AC317" s="16" t="n">
        <f aca="false">IF(AND(ISNUMBER(N317),ISNUMBER(AA317)),N317-AA317,"")</f>
        <v>-0.0197653354012075</v>
      </c>
    </row>
    <row r="318" customFormat="false" ht="15" hidden="false" customHeight="false" outlineLevel="0" collapsed="false">
      <c r="A318" s="0" t="s">
        <v>844</v>
      </c>
      <c r="B318" s="0" t="s">
        <v>845</v>
      </c>
      <c r="C318" s="0" t="s">
        <v>31</v>
      </c>
      <c r="D318" s="15" t="n">
        <v>4892.013</v>
      </c>
      <c r="E318" s="15" t="n">
        <v>4560.539</v>
      </c>
      <c r="F318" s="15" t="n">
        <v>4414.314</v>
      </c>
      <c r="G318" s="15" t="n">
        <v>4705.696</v>
      </c>
      <c r="H318" s="15" t="n">
        <v>4525.058</v>
      </c>
      <c r="I318" s="15" t="n">
        <v>985.746</v>
      </c>
      <c r="J318" s="15" t="n">
        <v>841.608</v>
      </c>
      <c r="K318" s="15" t="n">
        <v>828.609</v>
      </c>
      <c r="L318" s="15" t="n">
        <v>976.067</v>
      </c>
      <c r="M318" s="15" t="n">
        <v>914.47</v>
      </c>
      <c r="N318" s="16" t="n">
        <v>0.0810939881875548</v>
      </c>
      <c r="O318" s="16" t="n">
        <v>0.0779424147320307</v>
      </c>
      <c r="P318" s="16" t="n">
        <v>0.0726830753996404</v>
      </c>
      <c r="Q318" s="16" t="n">
        <v>0.0331251922722307</v>
      </c>
      <c r="R318" s="16" t="n">
        <v>-0.0619211270766322</v>
      </c>
      <c r="S318" s="16" t="n">
        <v>0.0399194883247906</v>
      </c>
      <c r="V318" s="17" t="s">
        <v>43</v>
      </c>
      <c r="W318" s="18" t="n">
        <v>103.47</v>
      </c>
      <c r="X318" s="18" t="n">
        <v>85.9</v>
      </c>
      <c r="Y318" s="16" t="n">
        <f aca="false">IF(AND(ISNUMBER(W318),ISNUMBER(X318)),X318/W318-1,"")</f>
        <v>-0.169807673721852</v>
      </c>
      <c r="Z318" s="16" t="n">
        <v>-0.169807668769107</v>
      </c>
      <c r="AA318" s="16" t="n">
        <v>0.0591865878969646</v>
      </c>
      <c r="AC318" s="16" t="n">
        <f aca="false">IF(AND(ISNUMBER(N318),ISNUMBER(AA318)),N318-AA318,"")</f>
        <v>0.0219074002905901</v>
      </c>
    </row>
    <row r="319" customFormat="false" ht="15" hidden="false" customHeight="false" outlineLevel="0" collapsed="false">
      <c r="A319" s="0" t="s">
        <v>846</v>
      </c>
      <c r="B319" s="0" t="s">
        <v>847</v>
      </c>
      <c r="C319" s="0" t="s">
        <v>31</v>
      </c>
      <c r="D319" s="15" t="n">
        <v>14094</v>
      </c>
      <c r="E319" s="15" t="n">
        <v>13481</v>
      </c>
      <c r="F319" s="15" t="n">
        <v>14379</v>
      </c>
      <c r="G319" s="15" t="n">
        <v>12907</v>
      </c>
      <c r="H319" s="15" t="n">
        <v>13041</v>
      </c>
      <c r="I319" s="15" t="n">
        <v>1460</v>
      </c>
      <c r="J319" s="15" t="n">
        <v>1420</v>
      </c>
      <c r="K319" s="15" t="n">
        <v>1452</v>
      </c>
      <c r="L319" s="15" t="n">
        <v>1331</v>
      </c>
      <c r="M319" s="15" t="n">
        <v>1305</v>
      </c>
      <c r="N319" s="16" t="n">
        <v>0.0807453416149069</v>
      </c>
      <c r="O319" s="16" t="n">
        <v>0.118773946360153</v>
      </c>
      <c r="P319" s="16" t="n">
        <v>0.0454714041985016</v>
      </c>
      <c r="Q319" s="16" t="n">
        <v>-0.0624521872174699</v>
      </c>
      <c r="R319" s="16" t="n">
        <v>0.114046641357403</v>
      </c>
      <c r="S319" s="16" t="n">
        <v>-0.0102752856376045</v>
      </c>
      <c r="V319" s="17" t="s">
        <v>47</v>
      </c>
      <c r="W319" s="18" t="n">
        <v>323.62</v>
      </c>
      <c r="X319" s="18" t="n">
        <v>343.33</v>
      </c>
      <c r="Y319" s="16" t="n">
        <f aca="false">IF(AND(ISNUMBER(W319),ISNUMBER(X319)),X319/W319-1,"")</f>
        <v>0.0609047648476608</v>
      </c>
      <c r="Z319" s="16" t="n">
        <v>0.0796209947984476</v>
      </c>
      <c r="AA319" s="16" t="n">
        <v>0.0889278557114228</v>
      </c>
      <c r="AC319" s="16" t="n">
        <f aca="false">IF(AND(ISNUMBER(N319),ISNUMBER(AA319)),N319-AA319,"")</f>
        <v>-0.00818251409651594</v>
      </c>
    </row>
    <row r="320" customFormat="false" ht="15" hidden="false" customHeight="false" outlineLevel="0" collapsed="false">
      <c r="A320" s="0" t="s">
        <v>848</v>
      </c>
      <c r="B320" s="0" t="s">
        <v>849</v>
      </c>
      <c r="C320" s="0" t="s">
        <v>38</v>
      </c>
      <c r="D320" s="15" t="n">
        <v>1878</v>
      </c>
      <c r="E320" s="15" t="n">
        <v>1835</v>
      </c>
      <c r="F320" s="15" t="n">
        <v>1798</v>
      </c>
      <c r="G320" s="15" t="n">
        <v>1861</v>
      </c>
      <c r="H320" s="15" t="n">
        <v>1738</v>
      </c>
      <c r="I320" s="15" t="n">
        <v>444</v>
      </c>
      <c r="J320" s="15" t="n">
        <v>399</v>
      </c>
      <c r="K320" s="15" t="n">
        <v>353</v>
      </c>
      <c r="L320" s="15" t="n">
        <v>443</v>
      </c>
      <c r="M320" s="15" t="n">
        <v>360</v>
      </c>
      <c r="N320" s="16" t="n">
        <v>0.0805523590333717</v>
      </c>
      <c r="O320" s="16" t="n">
        <v>0.233333333333333</v>
      </c>
      <c r="P320" s="16" t="n">
        <v>0.023433242506812</v>
      </c>
      <c r="Q320" s="16" t="n">
        <v>0.0205784204671857</v>
      </c>
      <c r="R320" s="16" t="n">
        <v>-0.0338527673293928</v>
      </c>
      <c r="S320" s="16" t="n">
        <v>0.0707710011507481</v>
      </c>
      <c r="V320" s="17" t="s">
        <v>147</v>
      </c>
      <c r="W320" s="18" t="n">
        <v>124.38</v>
      </c>
      <c r="X320" s="18" t="n">
        <v>165.32</v>
      </c>
      <c r="Y320" s="16" t="n">
        <f aca="false">IF(AND(ISNUMBER(W320),ISNUMBER(X320)),X320/W320-1,"")</f>
        <v>0.329152596880527</v>
      </c>
      <c r="Z320" s="16" t="n">
        <v>0.339818480914589</v>
      </c>
      <c r="AA320" s="16" t="n">
        <v>0.101394169835235</v>
      </c>
      <c r="AC320" s="16" t="n">
        <f aca="false">IF(AND(ISNUMBER(N320),ISNUMBER(AA320)),N320-AA320,"")</f>
        <v>-0.0208418108018628</v>
      </c>
    </row>
    <row r="321" customFormat="false" ht="15" hidden="false" customHeight="false" outlineLevel="0" collapsed="false">
      <c r="A321" s="0" t="s">
        <v>850</v>
      </c>
      <c r="B321" s="0" t="s">
        <v>851</v>
      </c>
      <c r="C321" s="0" t="s">
        <v>31</v>
      </c>
      <c r="D321" s="15" t="n">
        <v>1599.73</v>
      </c>
      <c r="E321" s="15" t="n">
        <v>1559.619</v>
      </c>
      <c r="F321" s="15" t="n">
        <v>1519.621</v>
      </c>
      <c r="G321" s="15" t="n">
        <v>1512.988</v>
      </c>
      <c r="H321" s="15" t="n">
        <v>1481.287</v>
      </c>
      <c r="N321" s="16" t="n">
        <v>0.0799595216862095</v>
      </c>
      <c r="P321" s="16" t="n">
        <v>0.0257184607266261</v>
      </c>
      <c r="Q321" s="16" t="n">
        <v>0.0263210366268958</v>
      </c>
      <c r="R321" s="16" t="n">
        <v>0.00438404005848025</v>
      </c>
      <c r="S321" s="16" t="n">
        <v>0.0214009844142289</v>
      </c>
      <c r="V321" s="17" t="s">
        <v>51</v>
      </c>
      <c r="W321" s="18" t="n">
        <v>143.3</v>
      </c>
      <c r="X321" s="18" t="n">
        <v>168.75</v>
      </c>
      <c r="Y321" s="16" t="n">
        <f aca="false">IF(AND(ISNUMBER(W321),ISNUMBER(X321)),X321/W321-1,"")</f>
        <v>0.177599441730635</v>
      </c>
      <c r="Z321" s="16" t="n">
        <v>0.187145185906859</v>
      </c>
      <c r="AA321" s="16" t="n">
        <v>0.0284958264074331</v>
      </c>
      <c r="AC321" s="16" t="n">
        <f aca="false">IF(AND(ISNUMBER(N321),ISNUMBER(AA321)),N321-AA321,"")</f>
        <v>0.0514636952787764</v>
      </c>
    </row>
    <row r="322" customFormat="false" ht="15" hidden="false" customHeight="false" outlineLevel="0" collapsed="false">
      <c r="A322" s="0" t="s">
        <v>852</v>
      </c>
      <c r="B322" s="0" t="s">
        <v>853</v>
      </c>
      <c r="C322" s="0" t="s">
        <v>31</v>
      </c>
      <c r="D322" s="15" t="n">
        <v>1096.8</v>
      </c>
      <c r="E322" s="15" t="n">
        <v>1069.4</v>
      </c>
      <c r="F322" s="15" t="n">
        <v>1122.5</v>
      </c>
      <c r="G322" s="15" t="n">
        <v>1027.1</v>
      </c>
      <c r="H322" s="15" t="n">
        <v>1016.4</v>
      </c>
      <c r="I322" s="15" t="n">
        <v>209.9</v>
      </c>
      <c r="J322" s="15" t="n">
        <v>191.7</v>
      </c>
      <c r="K322" s="15" t="n">
        <v>225.5</v>
      </c>
      <c r="L322" s="15" t="n">
        <v>159.6</v>
      </c>
      <c r="M322" s="15" t="n">
        <v>169.8</v>
      </c>
      <c r="N322" s="16" t="n">
        <v>0.0791027154663517</v>
      </c>
      <c r="O322" s="16" t="n">
        <v>0.236160188457008</v>
      </c>
      <c r="P322" s="16" t="n">
        <v>0.0256218440246867</v>
      </c>
      <c r="Q322" s="16" t="n">
        <v>-0.0473051224944321</v>
      </c>
      <c r="R322" s="16" t="n">
        <v>0.0928828741115764</v>
      </c>
      <c r="S322" s="16" t="n">
        <v>0.0105273514364423</v>
      </c>
      <c r="V322" s="17" t="s">
        <v>47</v>
      </c>
      <c r="W322" s="18" t="n">
        <v>48.16</v>
      </c>
      <c r="X322" s="18" t="n">
        <v>56.26</v>
      </c>
      <c r="Y322" s="16" t="n">
        <f aca="false">IF(AND(ISNUMBER(W322),ISNUMBER(X322)),X322/W322-1,"")</f>
        <v>0.168189368770764</v>
      </c>
      <c r="Z322" s="16" t="n">
        <v>0.17336633582231</v>
      </c>
      <c r="AA322" s="16" t="n">
        <v>-0.0216439062097398</v>
      </c>
      <c r="AC322" s="16" t="n">
        <f aca="false">IF(AND(ISNUMBER(N322),ISNUMBER(AA322)),N322-AA322,"")</f>
        <v>0.100746621676092</v>
      </c>
    </row>
    <row r="323" customFormat="false" ht="15" hidden="false" customHeight="false" outlineLevel="0" collapsed="false">
      <c r="A323" s="0" t="s">
        <v>854</v>
      </c>
      <c r="B323" s="0" t="s">
        <v>855</v>
      </c>
      <c r="C323" s="0" t="s">
        <v>31</v>
      </c>
      <c r="D323" s="15" t="n">
        <v>2313</v>
      </c>
      <c r="E323" s="15" t="n">
        <v>2239</v>
      </c>
      <c r="F323" s="15" t="n">
        <v>2105</v>
      </c>
      <c r="G323" s="15" t="n">
        <v>2316</v>
      </c>
      <c r="H323" s="15" t="n">
        <v>2144</v>
      </c>
      <c r="I323" s="15" t="n">
        <v>481</v>
      </c>
      <c r="J323" s="15" t="n">
        <v>467</v>
      </c>
      <c r="K323" s="15" t="n">
        <v>366</v>
      </c>
      <c r="L323" s="15" t="n">
        <v>458</v>
      </c>
      <c r="M323" s="15" t="n">
        <v>378</v>
      </c>
      <c r="N323" s="16" t="n">
        <v>0.0788246268656716</v>
      </c>
      <c r="O323" s="16" t="n">
        <v>0.272486772486773</v>
      </c>
      <c r="P323" s="16" t="n">
        <v>0.0330504689593569</v>
      </c>
      <c r="Q323" s="16" t="n">
        <v>0.0636579572446556</v>
      </c>
      <c r="R323" s="16" t="n">
        <v>-0.0911053540587219</v>
      </c>
      <c r="S323" s="16" t="n">
        <v>0.080223880597015</v>
      </c>
      <c r="V323" s="17" t="s">
        <v>47</v>
      </c>
      <c r="W323" s="18" t="n">
        <v>342.48</v>
      </c>
      <c r="X323" s="18" t="n">
        <v>432.89</v>
      </c>
      <c r="Y323" s="16" t="n">
        <f aca="false">IF(AND(ISNUMBER(W323),ISNUMBER(X323)),X323/W323-1,"")</f>
        <v>0.263986218173324</v>
      </c>
      <c r="Z323" s="16" t="n">
        <v>0.280894197059701</v>
      </c>
      <c r="AA323" s="16" t="n">
        <v>0.0453437347635299</v>
      </c>
      <c r="AC323" s="16" t="n">
        <f aca="false">IF(AND(ISNUMBER(N323),ISNUMBER(AA323)),N323-AA323,"")</f>
        <v>0.0334808921021417</v>
      </c>
    </row>
    <row r="324" customFormat="false" ht="15" hidden="false" customHeight="false" outlineLevel="0" collapsed="false">
      <c r="A324" s="0" t="s">
        <v>856</v>
      </c>
      <c r="B324" s="0" t="s">
        <v>857</v>
      </c>
      <c r="C324" s="0" t="s">
        <v>31</v>
      </c>
      <c r="D324" s="15" t="n">
        <v>22791</v>
      </c>
      <c r="E324" s="15" t="n">
        <v>23107</v>
      </c>
      <c r="F324" s="15" t="n">
        <v>24334</v>
      </c>
      <c r="G324" s="15" t="n">
        <v>21957</v>
      </c>
      <c r="H324" s="15" t="n">
        <v>21132</v>
      </c>
      <c r="I324" s="15" t="n">
        <v>5490</v>
      </c>
      <c r="J324" s="15" t="n">
        <v>4497</v>
      </c>
      <c r="K324" s="15" t="n">
        <v>3736</v>
      </c>
      <c r="L324" s="15" t="n">
        <v>4808</v>
      </c>
      <c r="M324" s="15" t="n">
        <v>5213</v>
      </c>
      <c r="N324" s="16" t="n">
        <v>0.0785065303804657</v>
      </c>
      <c r="O324" s="16" t="n">
        <v>0.0531363897947439</v>
      </c>
      <c r="P324" s="16" t="n">
        <v>-0.0136755095858397</v>
      </c>
      <c r="Q324" s="16" t="n">
        <v>-0.050423276074628</v>
      </c>
      <c r="R324" s="16" t="n">
        <v>0.108257047866284</v>
      </c>
      <c r="S324" s="16" t="n">
        <v>0.0390403180011356</v>
      </c>
      <c r="V324" s="17" t="s">
        <v>76</v>
      </c>
      <c r="W324" s="18" t="n">
        <v>238.4</v>
      </c>
      <c r="X324" s="18" t="n">
        <v>165.66</v>
      </c>
      <c r="Y324" s="16" t="n">
        <f aca="false">IF(AND(ISNUMBER(W324),ISNUMBER(X324)),X324/W324-1,"")</f>
        <v>-0.30511744966443</v>
      </c>
      <c r="Z324" s="16" t="n">
        <v>-0.290437988630087</v>
      </c>
      <c r="AA324" s="16" t="n">
        <v>0.0687841391867288</v>
      </c>
      <c r="AC324" s="16" t="n">
        <f aca="false">IF(AND(ISNUMBER(N324),ISNUMBER(AA324)),N324-AA324,"")</f>
        <v>0.00972239119373697</v>
      </c>
    </row>
    <row r="325" customFormat="false" ht="15" hidden="false" customHeight="false" outlineLevel="0" collapsed="false">
      <c r="A325" s="0" t="s">
        <v>858</v>
      </c>
      <c r="B325" s="0" t="s">
        <v>859</v>
      </c>
      <c r="C325" s="0" t="s">
        <v>132</v>
      </c>
      <c r="D325" s="15" t="n">
        <v>11164</v>
      </c>
      <c r="E325" s="15" t="n">
        <v>11459</v>
      </c>
      <c r="F325" s="15" t="n">
        <v>11369</v>
      </c>
      <c r="G325" s="15" t="n">
        <v>11142</v>
      </c>
      <c r="H325" s="15" t="n">
        <v>10358</v>
      </c>
      <c r="I325" s="15" t="n">
        <v>1345</v>
      </c>
      <c r="J325" s="15" t="n">
        <v>2251</v>
      </c>
      <c r="K325" s="15" t="n">
        <v>2057</v>
      </c>
      <c r="L325" s="15" t="n">
        <v>2052</v>
      </c>
      <c r="M325" s="15" t="n">
        <v>1693</v>
      </c>
      <c r="N325" s="16" t="n">
        <v>0.0778142498551844</v>
      </c>
      <c r="O325" s="16" t="n">
        <v>-0.205552274069699</v>
      </c>
      <c r="P325" s="16" t="n">
        <v>-0.0257439567152457</v>
      </c>
      <c r="Q325" s="16" t="n">
        <v>0.00791626352361696</v>
      </c>
      <c r="R325" s="16" t="n">
        <v>0.0203733620534914</v>
      </c>
      <c r="S325" s="16" t="n">
        <v>0.0756902877003283</v>
      </c>
      <c r="V325" s="17" t="s">
        <v>147</v>
      </c>
      <c r="W325" s="18" t="n">
        <v>133.89</v>
      </c>
      <c r="X325" s="18" t="n">
        <v>103.49</v>
      </c>
      <c r="Y325" s="16" t="n">
        <f aca="false">IF(AND(ISNUMBER(W325),ISNUMBER(X325)),X325/W325-1,"")</f>
        <v>-0.227052057659273</v>
      </c>
      <c r="Z325" s="16" t="n">
        <v>-0.209186286245179</v>
      </c>
      <c r="AA325" s="16" t="n">
        <v>0.0737207285342585</v>
      </c>
      <c r="AC325" s="16" t="n">
        <f aca="false">IF(AND(ISNUMBER(N325),ISNUMBER(AA325)),N325-AA325,"")</f>
        <v>0.00409352132092589</v>
      </c>
    </row>
    <row r="326" customFormat="false" ht="15" hidden="false" customHeight="false" outlineLevel="0" collapsed="false">
      <c r="A326" s="0" t="s">
        <v>860</v>
      </c>
      <c r="B326" s="0" t="s">
        <v>861</v>
      </c>
      <c r="C326" s="0" t="s">
        <v>31</v>
      </c>
      <c r="D326" s="15" t="n">
        <v>335.706</v>
      </c>
      <c r="E326" s="15" t="n">
        <v>341.084</v>
      </c>
      <c r="F326" s="15" t="n">
        <v>336.045</v>
      </c>
      <c r="G326" s="15" t="n">
        <v>322.253</v>
      </c>
      <c r="H326" s="15" t="n">
        <v>311.523</v>
      </c>
      <c r="I326" s="15" t="n">
        <v>118.045</v>
      </c>
      <c r="J326" s="15" t="n">
        <v>116.274</v>
      </c>
      <c r="K326" s="15" t="n">
        <v>115.64</v>
      </c>
      <c r="L326" s="15" t="n">
        <v>110.668</v>
      </c>
      <c r="M326" s="15" t="n">
        <v>126.243</v>
      </c>
      <c r="N326" s="16" t="n">
        <v>0.0776282971080786</v>
      </c>
      <c r="O326" s="16" t="n">
        <v>-0.0649382540022021</v>
      </c>
      <c r="P326" s="16" t="n">
        <v>-0.0157673769511323</v>
      </c>
      <c r="Q326" s="16" t="n">
        <v>0.0149950155485128</v>
      </c>
      <c r="R326" s="16" t="n">
        <v>0.0427986706097383</v>
      </c>
      <c r="S326" s="16" t="n">
        <v>0.0344436847359586</v>
      </c>
      <c r="V326" s="17" t="s">
        <v>535</v>
      </c>
      <c r="W326" s="18" t="n">
        <v>99.13</v>
      </c>
      <c r="X326" s="18" t="n">
        <v>109.39</v>
      </c>
      <c r="Y326" s="16" t="n">
        <f aca="false">IF(AND(ISNUMBER(W326),ISNUMBER(X326)),X326/W326-1,"")</f>
        <v>0.10350045394936</v>
      </c>
      <c r="Z326" s="16" t="n">
        <v>0.151275354836223</v>
      </c>
      <c r="AA326" s="16" t="n">
        <v>0.0522577114831178</v>
      </c>
      <c r="AC326" s="16" t="n">
        <f aca="false">IF(AND(ISNUMBER(N326),ISNUMBER(AA326)),N326-AA326,"")</f>
        <v>0.0253705856249609</v>
      </c>
    </row>
    <row r="327" customFormat="false" ht="15" hidden="false" customHeight="false" outlineLevel="0" collapsed="false">
      <c r="A327" s="0" t="s">
        <v>862</v>
      </c>
      <c r="B327" s="0" t="s">
        <v>863</v>
      </c>
      <c r="C327" s="0" t="s">
        <v>31</v>
      </c>
      <c r="D327" s="15" t="n">
        <v>105380</v>
      </c>
      <c r="E327" s="15" t="n">
        <v>96295</v>
      </c>
      <c r="F327" s="15" t="n">
        <v>106158</v>
      </c>
      <c r="G327" s="15" t="n">
        <v>103150</v>
      </c>
      <c r="H327" s="15" t="n">
        <v>97827</v>
      </c>
      <c r="I327" s="15" t="n">
        <v>1421</v>
      </c>
      <c r="J327" s="15" t="n">
        <v>2248</v>
      </c>
      <c r="K327" s="15" t="n">
        <v>1655</v>
      </c>
      <c r="L327" s="15" t="n">
        <v>1468</v>
      </c>
      <c r="M327" s="15" t="n">
        <v>1083</v>
      </c>
      <c r="N327" s="16" t="n">
        <v>0.0772077238390219</v>
      </c>
      <c r="O327" s="16" t="n">
        <v>0.312096029547553</v>
      </c>
      <c r="P327" s="16" t="n">
        <v>0.0943455008048186</v>
      </c>
      <c r="Q327" s="16" t="n">
        <v>-0.0929086832834077</v>
      </c>
      <c r="R327" s="16" t="n">
        <v>0.0291614154144451</v>
      </c>
      <c r="S327" s="16" t="n">
        <v>0.0544123810399992</v>
      </c>
      <c r="V327" s="17" t="s">
        <v>147</v>
      </c>
      <c r="W327" s="18" t="n">
        <v>760.58</v>
      </c>
      <c r="X327" s="18" t="n">
        <v>880.5</v>
      </c>
      <c r="Y327" s="16" t="n">
        <f aca="false">IF(AND(ISNUMBER(W327),ISNUMBER(X327)),X327/W327-1,"")</f>
        <v>0.157669147229746</v>
      </c>
      <c r="Z327" s="16" t="n">
        <v>0.162226872561677</v>
      </c>
      <c r="AA327" s="16" t="n">
        <v>0.233896295548857</v>
      </c>
      <c r="AC327" s="16" t="n">
        <f aca="false">IF(AND(ISNUMBER(N327),ISNUMBER(AA327)),N327-AA327,"")</f>
        <v>-0.156688571709835</v>
      </c>
    </row>
    <row r="328" customFormat="false" ht="15" hidden="false" customHeight="false" outlineLevel="0" collapsed="false">
      <c r="A328" s="0" t="s">
        <v>864</v>
      </c>
      <c r="B328" s="0" t="s">
        <v>865</v>
      </c>
      <c r="C328" s="0" t="s">
        <v>31</v>
      </c>
      <c r="D328" s="15" t="n">
        <v>22834</v>
      </c>
      <c r="E328" s="15" t="n">
        <v>21202</v>
      </c>
      <c r="F328" s="15" t="n">
        <v>24479</v>
      </c>
      <c r="G328" s="15" t="n">
        <v>21415</v>
      </c>
      <c r="H328" s="15" t="n">
        <v>21221</v>
      </c>
      <c r="I328" s="15" t="n">
        <v>930</v>
      </c>
      <c r="J328" s="15" t="n">
        <v>1267</v>
      </c>
      <c r="K328" s="15" t="n">
        <v>2575</v>
      </c>
      <c r="L328" s="15" t="n">
        <v>1804</v>
      </c>
      <c r="M328" s="15" t="n">
        <v>1822</v>
      </c>
      <c r="N328" s="16" t="n">
        <v>0.0760096131190802</v>
      </c>
      <c r="O328" s="16" t="n">
        <v>-0.489571899012075</v>
      </c>
      <c r="P328" s="16" t="n">
        <v>0.0769738703895859</v>
      </c>
      <c r="Q328" s="16" t="n">
        <v>-0.133869847624495</v>
      </c>
      <c r="R328" s="16" t="n">
        <v>0.143077282278777</v>
      </c>
      <c r="S328" s="16" t="n">
        <v>0.00914188775269786</v>
      </c>
      <c r="V328" s="17" t="s">
        <v>47</v>
      </c>
      <c r="W328" s="18" t="n">
        <v>83.9</v>
      </c>
      <c r="X328" s="18" t="n">
        <v>95.82</v>
      </c>
      <c r="Y328" s="16" t="n">
        <f aca="false">IF(AND(ISNUMBER(W328),ISNUMBER(X328)),X328/W328-1,"")</f>
        <v>0.14207389749702</v>
      </c>
      <c r="Z328" s="16" t="n">
        <v>0.21709158645637</v>
      </c>
      <c r="AA328" s="16" t="n">
        <v>-0.0273627280227335</v>
      </c>
      <c r="AC328" s="16" t="n">
        <f aca="false">IF(AND(ISNUMBER(N328),ISNUMBER(AA328)),N328-AA328,"")</f>
        <v>0.103372341141814</v>
      </c>
    </row>
    <row r="329" customFormat="false" ht="15" hidden="false" customHeight="false" outlineLevel="0" collapsed="false">
      <c r="A329" s="0" t="s">
        <v>866</v>
      </c>
      <c r="B329" s="0" t="s">
        <v>867</v>
      </c>
      <c r="C329" s="0" t="s">
        <v>31</v>
      </c>
      <c r="D329" s="15" t="n">
        <v>5442</v>
      </c>
      <c r="E329" s="15" t="n">
        <v>5203</v>
      </c>
      <c r="F329" s="15" t="n">
        <v>5286</v>
      </c>
      <c r="G329" s="15" t="n">
        <v>5065</v>
      </c>
      <c r="H329" s="15" t="n">
        <v>5061</v>
      </c>
      <c r="I329" s="15" t="n">
        <v>1246</v>
      </c>
      <c r="J329" s="15" t="n">
        <v>1072</v>
      </c>
      <c r="K329" s="15" t="n">
        <v>1041</v>
      </c>
      <c r="L329" s="15" t="n">
        <v>1050</v>
      </c>
      <c r="M329" s="15" t="n">
        <v>943</v>
      </c>
      <c r="N329" s="16" t="n">
        <v>0.0752815649081209</v>
      </c>
      <c r="O329" s="16" t="n">
        <v>0.321314952279958</v>
      </c>
      <c r="P329" s="16" t="n">
        <v>0.0459350374783778</v>
      </c>
      <c r="Q329" s="16" t="n">
        <v>-0.0157018539538404</v>
      </c>
      <c r="R329" s="16" t="n">
        <v>0.0436327739387956</v>
      </c>
      <c r="S329" s="16" t="n">
        <v>0.000790357636830663</v>
      </c>
      <c r="V329" s="17" t="s">
        <v>147</v>
      </c>
      <c r="W329" s="18" t="n">
        <v>98.06</v>
      </c>
      <c r="X329" s="18" t="n">
        <v>44.62</v>
      </c>
      <c r="Y329" s="16" t="n">
        <f aca="false">IF(AND(ISNUMBER(W329),ISNUMBER(X329)),X329/W329-1,"")</f>
        <v>-0.544972465837243</v>
      </c>
      <c r="Z329" s="16" t="n">
        <v>-0.544972465400858</v>
      </c>
      <c r="AA329" s="16" t="n">
        <v>0.228398058252427</v>
      </c>
      <c r="AC329" s="16" t="n">
        <f aca="false">IF(AND(ISNUMBER(N329),ISNUMBER(AA329)),N329-AA329,"")</f>
        <v>-0.153116493344306</v>
      </c>
    </row>
    <row r="330" customFormat="false" ht="15" hidden="false" customHeight="false" outlineLevel="0" collapsed="false">
      <c r="A330" s="0" t="s">
        <v>868</v>
      </c>
      <c r="B330" s="0" t="s">
        <v>869</v>
      </c>
      <c r="C330" s="0" t="s">
        <v>31</v>
      </c>
      <c r="D330" s="15" t="n">
        <v>1474</v>
      </c>
      <c r="E330" s="15" t="n">
        <v>1422</v>
      </c>
      <c r="F330" s="15" t="n">
        <v>1396</v>
      </c>
      <c r="G330" s="15" t="n">
        <v>1404</v>
      </c>
      <c r="H330" s="15" t="n">
        <v>1371</v>
      </c>
      <c r="I330" s="15" t="n">
        <v>315</v>
      </c>
      <c r="J330" s="15" t="n">
        <v>338</v>
      </c>
      <c r="K330" s="15" t="n">
        <v>316</v>
      </c>
      <c r="L330" s="15" t="n">
        <v>326</v>
      </c>
      <c r="M330" s="15" t="n">
        <v>313</v>
      </c>
      <c r="N330" s="16" t="n">
        <v>0.075127644055434</v>
      </c>
      <c r="O330" s="16" t="n">
        <v>0.00638977635782756</v>
      </c>
      <c r="P330" s="16" t="n">
        <v>0.0365682137834036</v>
      </c>
      <c r="Q330" s="16" t="n">
        <v>0.018624641833811</v>
      </c>
      <c r="R330" s="16" t="n">
        <v>-0.00569800569800572</v>
      </c>
      <c r="S330" s="16" t="n">
        <v>0.0240700218818382</v>
      </c>
      <c r="V330" s="17" t="s">
        <v>47</v>
      </c>
      <c r="W330" s="18" t="n">
        <v>105.63</v>
      </c>
      <c r="X330" s="18" t="n">
        <v>95.88</v>
      </c>
      <c r="Y330" s="16" t="n">
        <f aca="false">IF(AND(ISNUMBER(W330),ISNUMBER(X330)),X330/W330-1,"")</f>
        <v>-0.0923033229196251</v>
      </c>
      <c r="Z330" s="16" t="n">
        <v>-0.0874647938050458</v>
      </c>
      <c r="AA330" s="16" t="n">
        <v>0.06444099378882</v>
      </c>
      <c r="AC330" s="16" t="n">
        <f aca="false">IF(AND(ISNUMBER(N330),ISNUMBER(AA330)),N330-AA330,"")</f>
        <v>0.0106866502666141</v>
      </c>
    </row>
    <row r="331" customFormat="false" ht="15" hidden="false" customHeight="false" outlineLevel="0" collapsed="false">
      <c r="A331" s="0" t="s">
        <v>870</v>
      </c>
      <c r="B331" s="0" t="s">
        <v>871</v>
      </c>
      <c r="C331" s="0" t="s">
        <v>31</v>
      </c>
      <c r="D331" s="15" t="n">
        <v>3859</v>
      </c>
      <c r="E331" s="15" t="n">
        <v>3566</v>
      </c>
      <c r="F331" s="15" t="n">
        <v>3796</v>
      </c>
      <c r="G331" s="15" t="n">
        <v>3690</v>
      </c>
      <c r="H331" s="15" t="n">
        <v>3595</v>
      </c>
      <c r="I331" s="15" t="n">
        <v>575</v>
      </c>
      <c r="J331" s="15" t="n">
        <v>539</v>
      </c>
      <c r="K331" s="15" t="n">
        <v>675</v>
      </c>
      <c r="L331" s="15" t="n">
        <v>586</v>
      </c>
      <c r="M331" s="15" t="n">
        <v>547</v>
      </c>
      <c r="N331" s="16" t="n">
        <v>0.0734353268428374</v>
      </c>
      <c r="O331" s="16" t="n">
        <v>0.0511882998171847</v>
      </c>
      <c r="P331" s="16" t="n">
        <v>0.0821648906337633</v>
      </c>
      <c r="Q331" s="16" t="n">
        <v>-0.0605900948366702</v>
      </c>
      <c r="R331" s="16" t="n">
        <v>0.0287262872628726</v>
      </c>
      <c r="S331" s="16" t="n">
        <v>0.0264255910987483</v>
      </c>
      <c r="V331" s="17" t="s">
        <v>47</v>
      </c>
      <c r="W331" s="18" t="n">
        <v>88.73</v>
      </c>
      <c r="X331" s="18" t="n">
        <v>68.32</v>
      </c>
      <c r="Y331" s="16" t="n">
        <f aca="false">IF(AND(ISNUMBER(W331),ISNUMBER(X331)),X331/W331-1,"")</f>
        <v>-0.230023667305308</v>
      </c>
      <c r="Z331" s="16" t="n">
        <v>-0.213432357436114</v>
      </c>
      <c r="AA331" s="16" t="n">
        <v>-0.00166620383226879</v>
      </c>
      <c r="AC331" s="16" t="n">
        <f aca="false">IF(AND(ISNUMBER(N331),ISNUMBER(AA331)),N331-AA331,"")</f>
        <v>0.0751015306751062</v>
      </c>
    </row>
    <row r="332" customFormat="false" ht="15" hidden="false" customHeight="false" outlineLevel="0" collapsed="false">
      <c r="A332" s="0" t="s">
        <v>872</v>
      </c>
      <c r="B332" s="0" t="s">
        <v>873</v>
      </c>
      <c r="C332" s="0" t="s">
        <v>31</v>
      </c>
      <c r="D332" s="15" t="n">
        <v>1492.7</v>
      </c>
      <c r="E332" s="15" t="n">
        <v>1588.4</v>
      </c>
      <c r="F332" s="15" t="n">
        <v>1496.2</v>
      </c>
      <c r="G332" s="15" t="n">
        <v>1460.3</v>
      </c>
      <c r="H332" s="15" t="n">
        <v>1391.1</v>
      </c>
      <c r="I332" s="15" t="n">
        <v>285.9</v>
      </c>
      <c r="J332" s="15" t="n">
        <v>316.5</v>
      </c>
      <c r="K332" s="15" t="n">
        <v>273.7</v>
      </c>
      <c r="L332" s="15" t="n">
        <v>268</v>
      </c>
      <c r="M332" s="15" t="n">
        <v>247.8</v>
      </c>
      <c r="N332" s="16" t="n">
        <v>0.0730357271224211</v>
      </c>
      <c r="O332" s="16" t="n">
        <v>0.153753026634383</v>
      </c>
      <c r="P332" s="16" t="n">
        <v>-0.0602493074792244</v>
      </c>
      <c r="Q332" s="16" t="n">
        <v>0.0616227777035157</v>
      </c>
      <c r="R332" s="16" t="n">
        <v>0.0245839895911799</v>
      </c>
      <c r="S332" s="16" t="n">
        <v>0.0497448062684207</v>
      </c>
      <c r="V332" s="17" t="s">
        <v>147</v>
      </c>
      <c r="W332" s="18" t="n">
        <v>245.99</v>
      </c>
      <c r="X332" s="18" t="n">
        <v>209.98</v>
      </c>
      <c r="Y332" s="16" t="n">
        <f aca="false">IF(AND(ISNUMBER(W332),ISNUMBER(X332)),X332/W332-1,"")</f>
        <v>-0.14638806455547</v>
      </c>
      <c r="Z332" s="16" t="n">
        <v>-0.139051841767586</v>
      </c>
      <c r="AA332" s="16" t="n">
        <v>0.087221570926143</v>
      </c>
      <c r="AC332" s="16" t="n">
        <f aca="false">IF(AND(ISNUMBER(N332),ISNUMBER(AA332)),N332-AA332,"")</f>
        <v>-0.0141858438037219</v>
      </c>
    </row>
    <row r="333" customFormat="false" ht="15" hidden="false" customHeight="false" outlineLevel="0" collapsed="false">
      <c r="A333" s="0" t="s">
        <v>874</v>
      </c>
      <c r="B333" s="0" t="s">
        <v>875</v>
      </c>
      <c r="C333" s="0" t="s">
        <v>31</v>
      </c>
      <c r="D333" s="15" t="n">
        <v>23599</v>
      </c>
      <c r="E333" s="15" t="n">
        <v>22180</v>
      </c>
      <c r="F333" s="15" t="n">
        <v>22738</v>
      </c>
      <c r="G333" s="15" t="n">
        <v>22502</v>
      </c>
      <c r="H333" s="15" t="n">
        <v>21995</v>
      </c>
      <c r="N333" s="16" t="n">
        <v>0.0729256649238463</v>
      </c>
      <c r="P333" s="16" t="n">
        <v>0.0639765554553653</v>
      </c>
      <c r="Q333" s="16" t="n">
        <v>-0.0245404169232123</v>
      </c>
      <c r="R333" s="16" t="n">
        <v>0.0104879566260776</v>
      </c>
      <c r="S333" s="16" t="n">
        <v>0.0230506933393953</v>
      </c>
      <c r="V333" s="17" t="s">
        <v>51</v>
      </c>
      <c r="W333" s="18" t="n">
        <v>240</v>
      </c>
      <c r="X333" s="18" t="n">
        <v>203.13</v>
      </c>
      <c r="Y333" s="16" t="n">
        <f aca="false">IF(AND(ISNUMBER(W333),ISNUMBER(X333)),X333/W333-1,"")</f>
        <v>-0.153625</v>
      </c>
      <c r="Z333" s="16" t="n">
        <v>-0.0986353789626193</v>
      </c>
      <c r="AA333" s="16" t="n">
        <v>0.213411271644425</v>
      </c>
      <c r="AC333" s="16" t="n">
        <f aca="false">IF(AND(ISNUMBER(N333),ISNUMBER(AA333)),N333-AA333,"")</f>
        <v>-0.140485606720578</v>
      </c>
    </row>
    <row r="334" customFormat="false" ht="15" hidden="false" customHeight="false" outlineLevel="0" collapsed="false">
      <c r="A334" s="0" t="s">
        <v>876</v>
      </c>
      <c r="B334" s="0" t="s">
        <v>877</v>
      </c>
      <c r="C334" s="0" t="s">
        <v>31</v>
      </c>
      <c r="D334" s="15" t="n">
        <v>106096</v>
      </c>
      <c r="E334" s="15" t="n">
        <v>100426</v>
      </c>
      <c r="F334" s="15" t="n">
        <v>105693</v>
      </c>
      <c r="G334" s="15" t="n">
        <v>102871</v>
      </c>
      <c r="H334" s="15" t="n">
        <v>98915</v>
      </c>
      <c r="I334" s="15" t="n">
        <v>4703</v>
      </c>
      <c r="J334" s="15" t="n">
        <v>4680</v>
      </c>
      <c r="K334" s="15" t="n">
        <v>2112</v>
      </c>
      <c r="L334" s="15" t="n">
        <v>2518</v>
      </c>
      <c r="M334" s="15" t="n">
        <v>2381</v>
      </c>
      <c r="N334" s="16" t="n">
        <v>0.0725976848809584</v>
      </c>
      <c r="O334" s="16" t="n">
        <v>0.975220495590088</v>
      </c>
      <c r="P334" s="16" t="n">
        <v>0.0564594826041065</v>
      </c>
      <c r="Q334" s="16" t="n">
        <v>-0.0498330069162575</v>
      </c>
      <c r="R334" s="16" t="n">
        <v>0.0274324153551535</v>
      </c>
      <c r="S334" s="16" t="n">
        <v>0.0399939341859172</v>
      </c>
      <c r="V334" s="17" t="s">
        <v>147</v>
      </c>
      <c r="W334" s="18" t="n">
        <v>76.38</v>
      </c>
      <c r="X334" s="18" t="n">
        <v>85.86</v>
      </c>
      <c r="Y334" s="16" t="n">
        <f aca="false">IF(AND(ISNUMBER(W334),ISNUMBER(X334)),X334/W334-1,"")</f>
        <v>0.124116260801257</v>
      </c>
      <c r="Z334" s="16" t="n">
        <v>0.159795685940562</v>
      </c>
      <c r="AA334" s="16" t="n">
        <v>0.0841901045662801</v>
      </c>
      <c r="AC334" s="16" t="n">
        <f aca="false">IF(AND(ISNUMBER(N334),ISNUMBER(AA334)),N334-AA334,"")</f>
        <v>-0.0115924196853217</v>
      </c>
    </row>
    <row r="335" customFormat="false" ht="15" hidden="false" customHeight="false" outlineLevel="0" collapsed="false">
      <c r="A335" s="0" t="s">
        <v>878</v>
      </c>
      <c r="B335" s="0" t="s">
        <v>879</v>
      </c>
      <c r="C335" s="0" t="s">
        <v>31</v>
      </c>
      <c r="D335" s="15" t="n">
        <v>15959</v>
      </c>
      <c r="E335" s="15" t="n">
        <v>14815</v>
      </c>
      <c r="F335" s="15" t="n">
        <v>15303</v>
      </c>
      <c r="G335" s="15" t="n">
        <v>16200</v>
      </c>
      <c r="H335" s="15" t="n">
        <v>14881</v>
      </c>
      <c r="N335" s="16" t="n">
        <v>0.0724413681876217</v>
      </c>
      <c r="P335" s="16" t="n">
        <v>0.0772190347620654</v>
      </c>
      <c r="Q335" s="16" t="n">
        <v>-0.0318891720577664</v>
      </c>
      <c r="R335" s="16" t="n">
        <v>-0.0553703703703704</v>
      </c>
      <c r="S335" s="16" t="n">
        <v>0.0886365163631477</v>
      </c>
      <c r="V335" s="17" t="s">
        <v>51</v>
      </c>
      <c r="W335" s="18" t="n">
        <v>278.26</v>
      </c>
      <c r="X335" s="18" t="n">
        <v>335.21</v>
      </c>
      <c r="Y335" s="16" t="n">
        <f aca="false">IF(AND(ISNUMBER(W335),ISNUMBER(X335)),X335/W335-1,"")</f>
        <v>0.204664702077194</v>
      </c>
      <c r="Z335" s="16" t="n">
        <v>0.215651863835706</v>
      </c>
      <c r="AA335" s="16" t="n">
        <v>0.0723527285869172</v>
      </c>
      <c r="AB335" s="19" t="s">
        <v>35</v>
      </c>
      <c r="AC335" s="16" t="n">
        <f aca="false">IF(AND(ISNUMBER(N335),ISNUMBER(AA335)),N335-AA335,"")</f>
        <v>8.86396007044876E-005</v>
      </c>
    </row>
    <row r="336" customFormat="false" ht="15" hidden="false" customHeight="false" outlineLevel="0" collapsed="false">
      <c r="A336" s="0" t="s">
        <v>880</v>
      </c>
      <c r="B336" s="0" t="s">
        <v>881</v>
      </c>
      <c r="C336" s="0" t="s">
        <v>31</v>
      </c>
      <c r="D336" s="15" t="n">
        <v>4558</v>
      </c>
      <c r="E336" s="15" t="n">
        <v>4400</v>
      </c>
      <c r="F336" s="15" t="n">
        <v>4207</v>
      </c>
      <c r="G336" s="15" t="n">
        <v>4469</v>
      </c>
      <c r="H336" s="15" t="n">
        <v>4253</v>
      </c>
      <c r="I336" s="15" t="n">
        <v>534</v>
      </c>
      <c r="J336" s="15" t="n">
        <v>538</v>
      </c>
      <c r="K336" s="15" t="n">
        <v>473</v>
      </c>
      <c r="L336" s="15" t="n">
        <v>535</v>
      </c>
      <c r="M336" s="15" t="n">
        <v>565</v>
      </c>
      <c r="N336" s="16" t="n">
        <v>0.0717140841758759</v>
      </c>
      <c r="O336" s="16" t="n">
        <v>-0.0548672566371682</v>
      </c>
      <c r="P336" s="16" t="n">
        <v>0.0359090909090909</v>
      </c>
      <c r="Q336" s="16" t="n">
        <v>0.0458759210839077</v>
      </c>
      <c r="R336" s="16" t="n">
        <v>-0.0586260908480645</v>
      </c>
      <c r="S336" s="16" t="n">
        <v>0.0507876792852104</v>
      </c>
      <c r="V336" s="17" t="s">
        <v>47</v>
      </c>
      <c r="W336" s="18" t="n">
        <v>187.4</v>
      </c>
      <c r="X336" s="18" t="n">
        <v>124.69</v>
      </c>
      <c r="Y336" s="16" t="n">
        <f aca="false">IF(AND(ISNUMBER(W336),ISNUMBER(X336)),X336/W336-1,"")</f>
        <v>-0.334631803628602</v>
      </c>
      <c r="Z336" s="16" t="n">
        <v>-0.326926477711732</v>
      </c>
      <c r="AA336" s="16" t="n">
        <v>0.0292836398838334</v>
      </c>
      <c r="AC336" s="16" t="n">
        <f aca="false">IF(AND(ISNUMBER(N336),ISNUMBER(AA336)),N336-AA336,"")</f>
        <v>0.0424304442920425</v>
      </c>
    </row>
    <row r="337" customFormat="false" ht="15" hidden="false" customHeight="false" outlineLevel="0" collapsed="false">
      <c r="A337" s="0" t="s">
        <v>882</v>
      </c>
      <c r="B337" s="0" t="s">
        <v>883</v>
      </c>
      <c r="C337" s="0" t="s">
        <v>132</v>
      </c>
      <c r="D337" s="15" t="n">
        <v>30272</v>
      </c>
      <c r="E337" s="15" t="n">
        <v>31180</v>
      </c>
      <c r="F337" s="15" t="n">
        <v>28088</v>
      </c>
      <c r="G337" s="15" t="n">
        <v>27443</v>
      </c>
      <c r="H337" s="15" t="n">
        <v>28247</v>
      </c>
      <c r="N337" s="16" t="n">
        <v>0.0716890289234256</v>
      </c>
      <c r="P337" s="16" t="n">
        <v>-0.0291212315586915</v>
      </c>
      <c r="Q337" s="16" t="n">
        <v>0.110082597550556</v>
      </c>
      <c r="R337" s="16" t="n">
        <v>0.0235032613052508</v>
      </c>
      <c r="S337" s="16" t="n">
        <v>-0.0284631996318193</v>
      </c>
      <c r="V337" s="17" t="s">
        <v>51</v>
      </c>
      <c r="W337" s="18" t="n">
        <v>51.7</v>
      </c>
      <c r="X337" s="18" t="n">
        <v>56</v>
      </c>
      <c r="Y337" s="16" t="n">
        <f aca="false">IF(AND(ISNUMBER(W337),ISNUMBER(X337)),X337/W337-1,"")</f>
        <v>0.0831721470019342</v>
      </c>
      <c r="Z337" s="16" t="n">
        <v>0.106260949995188</v>
      </c>
      <c r="AA337" s="16" t="n">
        <v>0.0427946565787918</v>
      </c>
      <c r="AC337" s="16" t="n">
        <f aca="false">IF(AND(ISNUMBER(N337),ISNUMBER(AA337)),N337-AA337,"")</f>
        <v>0.0288943723446338</v>
      </c>
    </row>
    <row r="338" customFormat="false" ht="15" hidden="false" customHeight="false" outlineLevel="0" collapsed="false">
      <c r="A338" s="0" t="s">
        <v>884</v>
      </c>
      <c r="B338" s="0" t="s">
        <v>885</v>
      </c>
      <c r="C338" s="0" t="s">
        <v>31</v>
      </c>
      <c r="D338" s="15" t="n">
        <v>1910</v>
      </c>
      <c r="E338" s="15" t="n">
        <v>1909</v>
      </c>
      <c r="F338" s="15" t="n">
        <v>1936</v>
      </c>
      <c r="G338" s="15" t="n">
        <v>1842</v>
      </c>
      <c r="H338" s="15" t="n">
        <v>1783</v>
      </c>
      <c r="N338" s="16" t="n">
        <v>0.071228266965788</v>
      </c>
      <c r="P338" s="16" t="n">
        <v>0.00052383446830806</v>
      </c>
      <c r="Q338" s="16" t="n">
        <v>-0.0139462809917356</v>
      </c>
      <c r="R338" s="16" t="n">
        <v>0.0510314875135722</v>
      </c>
      <c r="S338" s="16" t="n">
        <v>0.0330902972518228</v>
      </c>
      <c r="V338" s="17" t="s">
        <v>51</v>
      </c>
      <c r="W338" s="18" t="n">
        <v>18.77</v>
      </c>
      <c r="X338" s="18" t="n">
        <v>20.24</v>
      </c>
      <c r="Y338" s="16" t="n">
        <f aca="false">IF(AND(ISNUMBER(W338),ISNUMBER(X338)),X338/W338-1,"")</f>
        <v>0.0783164624400639</v>
      </c>
      <c r="Z338" s="16" t="n">
        <v>0.122673195604816</v>
      </c>
      <c r="AA338" s="16" t="n">
        <v>0.205766710353866</v>
      </c>
      <c r="AC338" s="16" t="n">
        <f aca="false">IF(AND(ISNUMBER(N338),ISNUMBER(AA338)),N338-AA338,"")</f>
        <v>-0.134538443388078</v>
      </c>
    </row>
    <row r="339" customFormat="false" ht="15" hidden="false" customHeight="false" outlineLevel="0" collapsed="false">
      <c r="A339" s="0" t="s">
        <v>886</v>
      </c>
      <c r="B339" s="0" t="s">
        <v>887</v>
      </c>
      <c r="C339" s="0" t="s">
        <v>31</v>
      </c>
      <c r="D339" s="15" t="n">
        <v>5445</v>
      </c>
      <c r="E339" s="15" t="n">
        <v>6020</v>
      </c>
      <c r="F339" s="15" t="n">
        <v>5315.3</v>
      </c>
      <c r="G339" s="15" t="n">
        <v>6010.4</v>
      </c>
      <c r="H339" s="15" t="n">
        <v>5087</v>
      </c>
      <c r="I339" s="15" t="n">
        <v>1247</v>
      </c>
      <c r="J339" s="15" t="n">
        <v>1391</v>
      </c>
      <c r="K339" s="15" t="n">
        <v>1180.3</v>
      </c>
      <c r="L339" s="15" t="n">
        <v>1521.4</v>
      </c>
      <c r="M339" s="15" t="n">
        <v>1399</v>
      </c>
      <c r="N339" s="16" t="n">
        <v>0.0703754668763514</v>
      </c>
      <c r="O339" s="16" t="n">
        <v>-0.108649035025018</v>
      </c>
      <c r="P339" s="16" t="n">
        <v>-0.095514950166113</v>
      </c>
      <c r="Q339" s="16" t="n">
        <v>0.132579534551201</v>
      </c>
      <c r="R339" s="16" t="n">
        <v>-0.115649540795954</v>
      </c>
      <c r="S339" s="16" t="n">
        <v>0.181521525457048</v>
      </c>
      <c r="V339" s="17" t="s">
        <v>134</v>
      </c>
      <c r="W339" s="18" t="n">
        <v>108.88</v>
      </c>
      <c r="X339" s="18" t="n">
        <v>118.4</v>
      </c>
      <c r="Y339" s="16" t="n">
        <f aca="false">IF(AND(ISNUMBER(W339),ISNUMBER(X339)),X339/W339-1,"")</f>
        <v>0.0874357090374724</v>
      </c>
      <c r="Z339" s="16" t="n">
        <v>0.121170354635866</v>
      </c>
      <c r="AA339" s="16" t="n">
        <v>0.110870894479385</v>
      </c>
      <c r="AC339" s="16" t="n">
        <f aca="false">IF(AND(ISNUMBER(N339),ISNUMBER(AA339)),N339-AA339,"")</f>
        <v>-0.0404954276030336</v>
      </c>
    </row>
    <row r="340" customFormat="false" ht="15" hidden="false" customHeight="false" outlineLevel="0" collapsed="false">
      <c r="A340" s="0" t="s">
        <v>888</v>
      </c>
      <c r="B340" s="0" t="s">
        <v>889</v>
      </c>
      <c r="C340" s="0" t="s">
        <v>31</v>
      </c>
      <c r="D340" s="15" t="n">
        <v>4873</v>
      </c>
      <c r="E340" s="15" t="n">
        <v>4562</v>
      </c>
      <c r="F340" s="15" t="n">
        <v>4346</v>
      </c>
      <c r="G340" s="15" t="n">
        <v>4855</v>
      </c>
      <c r="H340" s="15" t="n">
        <v>4553</v>
      </c>
      <c r="I340" s="15" t="n">
        <v>1108</v>
      </c>
      <c r="J340" s="15" t="n">
        <v>901</v>
      </c>
      <c r="K340" s="15" t="n">
        <v>864</v>
      </c>
      <c r="L340" s="15" t="n">
        <v>982</v>
      </c>
      <c r="M340" s="15" t="n">
        <v>908</v>
      </c>
      <c r="N340" s="16" t="n">
        <v>0.0702833296727432</v>
      </c>
      <c r="O340" s="16" t="n">
        <v>0.220264317180617</v>
      </c>
      <c r="P340" s="16" t="n">
        <v>0.0681718544498027</v>
      </c>
      <c r="Q340" s="16" t="n">
        <v>0.0497008743672343</v>
      </c>
      <c r="R340" s="16" t="n">
        <v>-0.104840370751802</v>
      </c>
      <c r="S340" s="16" t="n">
        <v>0.0663298923786515</v>
      </c>
      <c r="V340" s="17" t="s">
        <v>47</v>
      </c>
      <c r="W340" s="18" t="n">
        <v>131.92</v>
      </c>
      <c r="X340" s="18" t="n">
        <v>154.59</v>
      </c>
      <c r="Y340" s="16" t="n">
        <f aca="false">IF(AND(ISNUMBER(W340),ISNUMBER(X340)),X340/W340-1,"")</f>
        <v>0.171846573681019</v>
      </c>
      <c r="Z340" s="16" t="n">
        <v>0.190251768687335</v>
      </c>
      <c r="AA340" s="16" t="n">
        <v>0.0394977168949773</v>
      </c>
      <c r="AC340" s="16" t="n">
        <f aca="false">IF(AND(ISNUMBER(N340),ISNUMBER(AA340)),N340-AA340,"")</f>
        <v>0.0307856127777659</v>
      </c>
    </row>
    <row r="341" customFormat="false" ht="15" hidden="false" customHeight="false" outlineLevel="0" collapsed="false">
      <c r="A341" s="0" t="s">
        <v>890</v>
      </c>
      <c r="B341" s="0" t="s">
        <v>891</v>
      </c>
      <c r="C341" s="0" t="s">
        <v>38</v>
      </c>
      <c r="D341" s="15" t="n">
        <v>4891.2</v>
      </c>
      <c r="E341" s="15" t="n">
        <v>4975.8</v>
      </c>
      <c r="F341" s="15" t="n">
        <v>5450.7</v>
      </c>
      <c r="G341" s="15" t="n">
        <v>4751</v>
      </c>
      <c r="H341" s="15" t="n">
        <v>4570.4</v>
      </c>
      <c r="I341" s="15" t="n">
        <v>690.1</v>
      </c>
      <c r="J341" s="15" t="n">
        <v>473.3</v>
      </c>
      <c r="K341" s="15" t="n">
        <v>694.7</v>
      </c>
      <c r="L341" s="15" t="n">
        <v>343.3</v>
      </c>
      <c r="M341" s="15" t="n">
        <v>231</v>
      </c>
      <c r="N341" s="16" t="n">
        <v>0.0701907929284089</v>
      </c>
      <c r="O341" s="16" t="n">
        <v>1.98744588744589</v>
      </c>
      <c r="P341" s="16" t="n">
        <v>-0.0170022910888701</v>
      </c>
      <c r="Q341" s="16" t="n">
        <v>-0.087126424129011</v>
      </c>
      <c r="R341" s="16" t="n">
        <v>0.147274258050937</v>
      </c>
      <c r="S341" s="16" t="n">
        <v>0.0395151409067041</v>
      </c>
      <c r="V341" s="17" t="s">
        <v>84</v>
      </c>
      <c r="W341" s="18" t="n">
        <v>95.9</v>
      </c>
      <c r="X341" s="18" t="n">
        <v>113.16</v>
      </c>
      <c r="Y341" s="16" t="n">
        <f aca="false">IF(AND(ISNUMBER(W341),ISNUMBER(X341)),X341/W341-1,"")</f>
        <v>0.179979144942648</v>
      </c>
      <c r="Z341" s="16" t="n">
        <v>0.179979164354578</v>
      </c>
      <c r="AA341" s="16" t="n">
        <v>0.123334808042078</v>
      </c>
      <c r="AC341" s="16" t="n">
        <f aca="false">IF(AND(ISNUMBER(N341),ISNUMBER(AA341)),N341-AA341,"")</f>
        <v>-0.0531440151136695</v>
      </c>
    </row>
    <row r="342" customFormat="false" ht="15" hidden="false" customHeight="false" outlineLevel="0" collapsed="false">
      <c r="A342" s="0" t="s">
        <v>892</v>
      </c>
      <c r="B342" s="0" t="s">
        <v>893</v>
      </c>
      <c r="C342" s="0" t="s">
        <v>31</v>
      </c>
      <c r="D342" s="15" t="n">
        <v>1856.933</v>
      </c>
      <c r="E342" s="15" t="n">
        <v>1856.762</v>
      </c>
      <c r="F342" s="15" t="n">
        <v>1865.983</v>
      </c>
      <c r="G342" s="15" t="n">
        <v>1833.747</v>
      </c>
      <c r="H342" s="15" t="n">
        <v>1737.797</v>
      </c>
      <c r="I342" s="15" t="n">
        <v>306.82</v>
      </c>
      <c r="J342" s="15" t="n">
        <v>294.349</v>
      </c>
      <c r="K342" s="15" t="n">
        <v>339.057</v>
      </c>
      <c r="L342" s="15" t="n">
        <v>317.778</v>
      </c>
      <c r="M342" s="15" t="n">
        <v>275.886</v>
      </c>
      <c r="N342" s="16" t="n">
        <v>0.0685557634177065</v>
      </c>
      <c r="O342" s="16" t="n">
        <v>0.112126023067499</v>
      </c>
      <c r="P342" s="16" t="n">
        <v>9.2095809802295E-005</v>
      </c>
      <c r="Q342" s="16" t="n">
        <v>-0.00494163130103542</v>
      </c>
      <c r="R342" s="16" t="n">
        <v>0.0175793061965472</v>
      </c>
      <c r="S342" s="16" t="n">
        <v>0.0552135836349126</v>
      </c>
      <c r="V342" s="17" t="s">
        <v>43</v>
      </c>
      <c r="W342" s="18" t="n">
        <v>125.92</v>
      </c>
      <c r="X342" s="18" t="n">
        <v>81.45</v>
      </c>
      <c r="Y342" s="16" t="n">
        <f aca="false">IF(AND(ISNUMBER(W342),ISNUMBER(X342)),X342/W342-1,"")</f>
        <v>-0.353160736975858</v>
      </c>
      <c r="Z342" s="16" t="n">
        <v>-0.347103955630672</v>
      </c>
      <c r="AA342" s="16" t="n">
        <v>0.00280738078585885</v>
      </c>
      <c r="AC342" s="16" t="n">
        <f aca="false">IF(AND(ISNUMBER(N342),ISNUMBER(AA342)),N342-AA342,"")</f>
        <v>0.0657483826318477</v>
      </c>
    </row>
    <row r="343" customFormat="false" ht="15" hidden="false" customHeight="false" outlineLevel="0" collapsed="false">
      <c r="A343" s="0" t="s">
        <v>894</v>
      </c>
      <c r="B343" s="0" t="s">
        <v>895</v>
      </c>
      <c r="C343" s="0" t="s">
        <v>31</v>
      </c>
      <c r="D343" s="15" t="n">
        <v>2190.021</v>
      </c>
      <c r="E343" s="15" t="n">
        <v>2053.623</v>
      </c>
      <c r="F343" s="15" t="n">
        <v>2099.079</v>
      </c>
      <c r="G343" s="15" t="n">
        <v>2077.841</v>
      </c>
      <c r="H343" s="15" t="n">
        <v>2049.592</v>
      </c>
      <c r="I343" s="15" t="n">
        <v>391.787</v>
      </c>
      <c r="J343" s="15" t="n">
        <v>305.909</v>
      </c>
      <c r="K343" s="15" t="n">
        <v>345.302</v>
      </c>
      <c r="L343" s="15" t="n">
        <v>377.153</v>
      </c>
      <c r="M343" s="15" t="n">
        <v>354.597</v>
      </c>
      <c r="N343" s="16" t="n">
        <v>0.0685155874925352</v>
      </c>
      <c r="O343" s="16" t="n">
        <v>0.104879623911088</v>
      </c>
      <c r="P343" s="16" t="n">
        <v>0.0664182276883343</v>
      </c>
      <c r="Q343" s="16" t="n">
        <v>-0.0216552116428205</v>
      </c>
      <c r="R343" s="16" t="n">
        <v>0.0102211863179136</v>
      </c>
      <c r="S343" s="16" t="n">
        <v>0.0137827431020419</v>
      </c>
      <c r="V343" s="17" t="s">
        <v>47</v>
      </c>
      <c r="W343" s="18" t="n">
        <v>167.29</v>
      </c>
      <c r="X343" s="18" t="n">
        <v>189.03</v>
      </c>
      <c r="Y343" s="16" t="n">
        <f aca="false">IF(AND(ISNUMBER(W343),ISNUMBER(X343)),X343/W343-1,"")</f>
        <v>0.129953972144181</v>
      </c>
      <c r="Z343" s="16" t="n">
        <v>0.141521009499813</v>
      </c>
      <c r="AA343" s="16" t="n">
        <v>0.0517297470933127</v>
      </c>
      <c r="AC343" s="16" t="n">
        <f aca="false">IF(AND(ISNUMBER(N343),ISNUMBER(AA343)),N343-AA343,"")</f>
        <v>0.0167858403992225</v>
      </c>
    </row>
    <row r="344" customFormat="false" ht="15" hidden="false" customHeight="false" outlineLevel="0" collapsed="false">
      <c r="A344" s="0" t="s">
        <v>896</v>
      </c>
      <c r="B344" s="0" t="s">
        <v>897</v>
      </c>
      <c r="C344" s="0" t="s">
        <v>31</v>
      </c>
      <c r="D344" s="15" t="n">
        <v>5473.8</v>
      </c>
      <c r="E344" s="15" t="n">
        <v>5939.2</v>
      </c>
      <c r="F344" s="15" t="n">
        <v>5359.3</v>
      </c>
      <c r="G344" s="15" t="n">
        <v>5175.2</v>
      </c>
      <c r="H344" s="15" t="n">
        <v>5126.8</v>
      </c>
      <c r="I344" s="15" t="n">
        <v>1259.1</v>
      </c>
      <c r="J344" s="15" t="n">
        <v>1785.5</v>
      </c>
      <c r="K344" s="15" t="n">
        <v>1401.5</v>
      </c>
      <c r="L344" s="15" t="n">
        <v>1332.8</v>
      </c>
      <c r="M344" s="15" t="n">
        <v>1206.8</v>
      </c>
      <c r="N344" s="16" t="n">
        <v>0.0676835452914097</v>
      </c>
      <c r="O344" s="16" t="n">
        <v>0.0433377527345045</v>
      </c>
      <c r="P344" s="16" t="n">
        <v>-0.0783607219827587</v>
      </c>
      <c r="Q344" s="16" t="n">
        <v>0.108204429682981</v>
      </c>
      <c r="R344" s="16" t="n">
        <v>0.0355735044056269</v>
      </c>
      <c r="S344" s="16" t="n">
        <v>0.00944058672076142</v>
      </c>
      <c r="V344" s="17" t="s">
        <v>47</v>
      </c>
      <c r="W344" s="18" t="n">
        <v>291.5</v>
      </c>
      <c r="X344" s="18" t="n">
        <v>263.68</v>
      </c>
      <c r="Y344" s="16" t="n">
        <f aca="false">IF(AND(ISNUMBER(W344),ISNUMBER(X344)),X344/W344-1,"")</f>
        <v>-0.0954373927958834</v>
      </c>
      <c r="Z344" s="16" t="n">
        <v>-0.0691845025283683</v>
      </c>
      <c r="AA344" s="16" t="n">
        <v>0.0751389325783789</v>
      </c>
      <c r="AC344" s="16" t="n">
        <f aca="false">IF(AND(ISNUMBER(N344),ISNUMBER(AA344)),N344-AA344,"")</f>
        <v>-0.00745538728696915</v>
      </c>
    </row>
    <row r="345" customFormat="false" ht="15" hidden="false" customHeight="false" outlineLevel="0" collapsed="false">
      <c r="A345" s="0" t="s">
        <v>898</v>
      </c>
      <c r="B345" s="0" t="s">
        <v>899</v>
      </c>
      <c r="C345" s="0" t="s">
        <v>31</v>
      </c>
      <c r="D345" s="15" t="n">
        <v>25248</v>
      </c>
      <c r="E345" s="15" t="n">
        <v>25168</v>
      </c>
      <c r="F345" s="15" t="n">
        <v>25981</v>
      </c>
      <c r="G345" s="15" t="n">
        <v>22464</v>
      </c>
      <c r="H345" s="15" t="n">
        <v>23650</v>
      </c>
      <c r="I345" s="15" t="n">
        <v>4760</v>
      </c>
      <c r="J345" s="15" t="n">
        <v>3789</v>
      </c>
      <c r="K345" s="15" t="n">
        <v>3875</v>
      </c>
      <c r="L345" s="15" t="n">
        <v>2603</v>
      </c>
      <c r="M345" s="15" t="n">
        <v>3645</v>
      </c>
      <c r="N345" s="16" t="n">
        <v>0.067568710359408</v>
      </c>
      <c r="O345" s="16" t="n">
        <v>0.305898491083676</v>
      </c>
      <c r="P345" s="16" t="n">
        <v>0.00317863954227593</v>
      </c>
      <c r="Q345" s="16" t="n">
        <v>-0.0312920980716678</v>
      </c>
      <c r="R345" s="16" t="n">
        <v>0.15656160968661</v>
      </c>
      <c r="S345" s="16" t="n">
        <v>-0.0501479915433404</v>
      </c>
      <c r="V345" s="17" t="s">
        <v>76</v>
      </c>
      <c r="W345" s="18" t="n">
        <v>113.43</v>
      </c>
      <c r="X345" s="18" t="n">
        <v>103.46</v>
      </c>
      <c r="Y345" s="16" t="n">
        <f aca="false">IF(AND(ISNUMBER(W345),ISNUMBER(X345)),X345/W345-1,"")</f>
        <v>-0.0878956184430928</v>
      </c>
      <c r="Z345" s="16" t="n">
        <v>-0.0746882046518915</v>
      </c>
      <c r="AA345" s="16" t="n">
        <v>0.0213776722090262</v>
      </c>
      <c r="AC345" s="16" t="n">
        <f aca="false">IF(AND(ISNUMBER(N345),ISNUMBER(AA345)),N345-AA345,"")</f>
        <v>0.0461910381503818</v>
      </c>
    </row>
    <row r="346" customFormat="false" ht="15" hidden="false" customHeight="false" outlineLevel="0" collapsed="false">
      <c r="A346" s="0" t="s">
        <v>900</v>
      </c>
      <c r="B346" s="0" t="s">
        <v>901</v>
      </c>
      <c r="C346" s="0" t="s">
        <v>31</v>
      </c>
      <c r="D346" s="15" t="n">
        <v>13380</v>
      </c>
      <c r="E346" s="15" t="n">
        <v>12472</v>
      </c>
      <c r="F346" s="15" t="n">
        <v>11822</v>
      </c>
      <c r="G346" s="15" t="n">
        <v>12455</v>
      </c>
      <c r="H346" s="15" t="n">
        <v>12535</v>
      </c>
      <c r="I346" s="15" t="n">
        <v>4695</v>
      </c>
      <c r="J346" s="15" t="n">
        <v>4372</v>
      </c>
      <c r="K346" s="15" t="n">
        <v>2862</v>
      </c>
      <c r="L346" s="15" t="n">
        <v>4012</v>
      </c>
      <c r="M346" s="15" t="n">
        <v>4351</v>
      </c>
      <c r="N346" s="16" t="n">
        <v>0.0674112485041882</v>
      </c>
      <c r="O346" s="16" t="n">
        <v>0.0790622845322915</v>
      </c>
      <c r="P346" s="16" t="n">
        <v>0.0728030788967287</v>
      </c>
      <c r="Q346" s="16" t="n">
        <v>0.0549822365082051</v>
      </c>
      <c r="R346" s="16" t="n">
        <v>-0.0508229626655962</v>
      </c>
      <c r="S346" s="16" t="n">
        <v>-0.00638213003589949</v>
      </c>
      <c r="V346" s="17" t="s">
        <v>84</v>
      </c>
      <c r="W346" s="18" t="n">
        <v>66.45</v>
      </c>
      <c r="X346" s="18" t="n">
        <v>88.09</v>
      </c>
      <c r="Y346" s="16" t="n">
        <f aca="false">IF(AND(ISNUMBER(W346),ISNUMBER(X346)),X346/W346-1,"")</f>
        <v>0.325658389766742</v>
      </c>
      <c r="Z346" s="16" t="n">
        <v>0.360899583708099</v>
      </c>
      <c r="AA346" s="16" t="n">
        <v>0.0139124807894524</v>
      </c>
      <c r="AB346" s="19" t="s">
        <v>35</v>
      </c>
      <c r="AC346" s="16" t="n">
        <f aca="false">IF(AND(ISNUMBER(N346),ISNUMBER(AA346)),N346-AA346,"")</f>
        <v>0.0534987677147358</v>
      </c>
    </row>
    <row r="347" customFormat="false" ht="15" hidden="false" customHeight="false" outlineLevel="0" collapsed="false">
      <c r="A347" s="0" t="s">
        <v>902</v>
      </c>
      <c r="B347" s="0" t="s">
        <v>903</v>
      </c>
      <c r="C347" s="0" t="s">
        <v>31</v>
      </c>
      <c r="D347" s="15" t="n">
        <v>3458</v>
      </c>
      <c r="E347" s="15" t="n">
        <v>3368</v>
      </c>
      <c r="F347" s="15" t="n">
        <v>3437</v>
      </c>
      <c r="G347" s="15" t="n">
        <v>3339</v>
      </c>
      <c r="H347" s="15" t="n">
        <v>3240</v>
      </c>
      <c r="I347" s="15" t="n">
        <v>200</v>
      </c>
      <c r="J347" s="15" t="n">
        <v>194</v>
      </c>
      <c r="K347" s="15" t="n">
        <v>186</v>
      </c>
      <c r="L347" s="15" t="n">
        <v>198</v>
      </c>
      <c r="M347" s="15" t="n">
        <v>174</v>
      </c>
      <c r="N347" s="16" t="n">
        <v>0.067283950617284</v>
      </c>
      <c r="O347" s="16" t="n">
        <v>0.149425287356322</v>
      </c>
      <c r="P347" s="16" t="n">
        <v>0.0267220902612826</v>
      </c>
      <c r="Q347" s="16" t="n">
        <v>-0.0200756473668897</v>
      </c>
      <c r="R347" s="16" t="n">
        <v>0.029350104821803</v>
      </c>
      <c r="S347" s="16" t="n">
        <v>0.0305555555555555</v>
      </c>
      <c r="V347" s="17" t="s">
        <v>147</v>
      </c>
      <c r="W347" s="18" t="n">
        <v>67.75</v>
      </c>
      <c r="X347" s="18" t="n">
        <v>85.05</v>
      </c>
      <c r="Y347" s="16" t="n">
        <f aca="false">IF(AND(ISNUMBER(W347),ISNUMBER(X347)),X347/W347-1,"")</f>
        <v>0.255350553505535</v>
      </c>
      <c r="Z347" s="16" t="n">
        <v>0.255350598549931</v>
      </c>
      <c r="AA347" s="16" t="n">
        <v>0.0331632653061225</v>
      </c>
      <c r="AC347" s="16" t="n">
        <f aca="false">IF(AND(ISNUMBER(N347),ISNUMBER(AA347)),N347-AA347,"")</f>
        <v>0.0341206853111615</v>
      </c>
    </row>
    <row r="348" customFormat="false" ht="15" hidden="false" customHeight="false" outlineLevel="0" collapsed="false">
      <c r="A348" s="0" t="s">
        <v>904</v>
      </c>
      <c r="B348" s="0" t="s">
        <v>905</v>
      </c>
      <c r="C348" s="0" t="s">
        <v>38</v>
      </c>
      <c r="D348" s="15" t="n">
        <v>1959.757</v>
      </c>
      <c r="E348" s="15" t="n">
        <v>1805.456</v>
      </c>
      <c r="F348" s="15" t="n">
        <v>2357.129</v>
      </c>
      <c r="G348" s="15" t="n">
        <v>1882.814</v>
      </c>
      <c r="H348" s="15" t="n">
        <v>1836.76</v>
      </c>
      <c r="I348" s="15" t="n">
        <v>448.795</v>
      </c>
      <c r="J348" s="15" t="n">
        <v>291.688</v>
      </c>
      <c r="K348" s="15" t="n">
        <v>477.807</v>
      </c>
      <c r="L348" s="15" t="n">
        <v>319.143</v>
      </c>
      <c r="M348" s="15" t="n">
        <v>328.059</v>
      </c>
      <c r="N348" s="16" t="n">
        <v>0.0669641107166967</v>
      </c>
      <c r="O348" s="16" t="n">
        <v>0.368031360212645</v>
      </c>
      <c r="P348" s="16" t="n">
        <v>0.0854637277230794</v>
      </c>
      <c r="Q348" s="16" t="n">
        <v>-0.234044466806866</v>
      </c>
      <c r="R348" s="16" t="n">
        <v>0.251918139550694</v>
      </c>
      <c r="S348" s="16" t="n">
        <v>0.0250734989873473</v>
      </c>
      <c r="V348" s="17" t="s">
        <v>43</v>
      </c>
      <c r="W348" s="18" t="n">
        <v>200.39</v>
      </c>
      <c r="X348" s="18" t="n">
        <v>227.83</v>
      </c>
      <c r="Y348" s="16" t="n">
        <f aca="false">IF(AND(ISNUMBER(W348),ISNUMBER(X348)),X348/W348-1,"")</f>
        <v>0.136932980687659</v>
      </c>
      <c r="Z348" s="16" t="n">
        <v>0.152943513897536</v>
      </c>
      <c r="AA348" s="16" t="n">
        <v>0.027094341184148</v>
      </c>
      <c r="AC348" s="16" t="n">
        <f aca="false">IF(AND(ISNUMBER(N348),ISNUMBER(AA348)),N348-AA348,"")</f>
        <v>0.0398697695325487</v>
      </c>
    </row>
    <row r="349" customFormat="false" ht="15" hidden="false" customHeight="false" outlineLevel="0" collapsed="false">
      <c r="A349" s="0" t="s">
        <v>906</v>
      </c>
      <c r="B349" s="0" t="s">
        <v>907</v>
      </c>
      <c r="C349" s="0" t="s">
        <v>31</v>
      </c>
      <c r="D349" s="15" t="n">
        <v>71396</v>
      </c>
      <c r="E349" s="15" t="n">
        <v>68292</v>
      </c>
      <c r="F349" s="15" t="n">
        <v>72133</v>
      </c>
      <c r="G349" s="15" t="n">
        <v>69515</v>
      </c>
      <c r="H349" s="15" t="n">
        <v>66942</v>
      </c>
      <c r="I349" s="15" t="n">
        <v>2404</v>
      </c>
      <c r="J349" s="15" t="n">
        <v>2156</v>
      </c>
      <c r="K349" s="15" t="n">
        <v>2006</v>
      </c>
      <c r="L349" s="15" t="n">
        <v>2345</v>
      </c>
      <c r="M349" s="15" t="n">
        <v>2070</v>
      </c>
      <c r="N349" s="16" t="n">
        <v>0.0665352095844163</v>
      </c>
      <c r="O349" s="16" t="n">
        <v>0.161352657004831</v>
      </c>
      <c r="P349" s="16" t="n">
        <v>0.0454518830902595</v>
      </c>
      <c r="Q349" s="16" t="n">
        <v>-0.0532488597451929</v>
      </c>
      <c r="R349" s="16" t="n">
        <v>0.0376609364885276</v>
      </c>
      <c r="S349" s="16" t="n">
        <v>0.0384362582534135</v>
      </c>
      <c r="V349" s="17" t="s">
        <v>147</v>
      </c>
      <c r="W349" s="18" t="n">
        <v>291.43</v>
      </c>
      <c r="X349" s="18" t="n">
        <v>268.27</v>
      </c>
      <c r="Y349" s="16" t="n">
        <f aca="false">IF(AND(ISNUMBER(W349),ISNUMBER(X349)),X349/W349-1,"")</f>
        <v>-0.0794701986754968</v>
      </c>
      <c r="Z349" s="16" t="n">
        <v>-0.058607037526478</v>
      </c>
      <c r="AA349" s="16" t="n">
        <v>0.109958197709962</v>
      </c>
      <c r="AC349" s="16" t="n">
        <f aca="false">IF(AND(ISNUMBER(N349),ISNUMBER(AA349)),N349-AA349,"")</f>
        <v>-0.0434229881255452</v>
      </c>
    </row>
    <row r="350" customFormat="false" ht="15" hidden="false" customHeight="false" outlineLevel="0" collapsed="false">
      <c r="A350" s="0" t="s">
        <v>908</v>
      </c>
      <c r="B350" s="0" t="s">
        <v>909</v>
      </c>
      <c r="C350" s="0" t="s">
        <v>31</v>
      </c>
      <c r="D350" s="15" t="n">
        <v>7149</v>
      </c>
      <c r="E350" s="15" t="n">
        <v>7151</v>
      </c>
      <c r="F350" s="15" t="n">
        <v>7179</v>
      </c>
      <c r="G350" s="15" t="n">
        <v>7147</v>
      </c>
      <c r="H350" s="15" t="n">
        <v>6704</v>
      </c>
      <c r="N350" s="16" t="n">
        <v>0.0663782816229117</v>
      </c>
      <c r="P350" s="16" t="n">
        <v>-0.000279681163473655</v>
      </c>
      <c r="Q350" s="16" t="n">
        <v>-0.00390026466081628</v>
      </c>
      <c r="R350" s="16" t="n">
        <v>0.00447740310619849</v>
      </c>
      <c r="S350" s="16" t="n">
        <v>0.066079952267303</v>
      </c>
      <c r="V350" s="17" t="s">
        <v>51</v>
      </c>
      <c r="W350" s="18" t="n">
        <v>131.85</v>
      </c>
      <c r="X350" s="18" t="n">
        <v>126.59</v>
      </c>
      <c r="Y350" s="16" t="n">
        <f aca="false">IF(AND(ISNUMBER(W350),ISNUMBER(X350)),X350/W350-1,"")</f>
        <v>-0.0398938187334091</v>
      </c>
      <c r="Z350" s="16" t="n">
        <v>-0.0226846843599312</v>
      </c>
      <c r="AA350" s="16" t="n">
        <v>0.0772432932469935</v>
      </c>
      <c r="AC350" s="16" t="n">
        <f aca="false">IF(AND(ISNUMBER(N350),ISNUMBER(AA350)),N350-AA350,"")</f>
        <v>-0.0108650116240818</v>
      </c>
    </row>
    <row r="351" customFormat="false" ht="15" hidden="false" customHeight="false" outlineLevel="0" collapsed="false">
      <c r="A351" s="0" t="s">
        <v>910</v>
      </c>
      <c r="B351" s="0" t="s">
        <v>911</v>
      </c>
      <c r="C351" s="0" t="s">
        <v>31</v>
      </c>
      <c r="D351" s="15" t="n">
        <v>1427.17</v>
      </c>
      <c r="E351" s="15" t="n">
        <v>1446.487</v>
      </c>
      <c r="F351" s="15" t="n">
        <v>1708.836</v>
      </c>
      <c r="G351" s="15" t="n">
        <v>1387.631</v>
      </c>
      <c r="H351" s="15" t="n">
        <v>1338.516</v>
      </c>
      <c r="I351" s="15" t="n">
        <v>605.191</v>
      </c>
      <c r="J351" s="15" t="n">
        <v>601.381</v>
      </c>
      <c r="K351" s="15" t="n">
        <v>943.044</v>
      </c>
      <c r="L351" s="15" t="n">
        <v>582.409</v>
      </c>
      <c r="M351" s="15" t="n">
        <v>532.808</v>
      </c>
      <c r="N351" s="16" t="n">
        <v>0.0662330521263848</v>
      </c>
      <c r="O351" s="16" t="n">
        <v>0.135851939160073</v>
      </c>
      <c r="P351" s="16" t="n">
        <v>-0.0133544235102009</v>
      </c>
      <c r="Q351" s="16" t="n">
        <v>-0.153524972554417</v>
      </c>
      <c r="R351" s="16" t="n">
        <v>0.231477244310627</v>
      </c>
      <c r="S351" s="16" t="n">
        <v>0.0366936218917069</v>
      </c>
      <c r="V351" s="17" t="s">
        <v>535</v>
      </c>
      <c r="W351" s="18" t="n">
        <v>59.98</v>
      </c>
      <c r="X351" s="18" t="n">
        <v>55.61</v>
      </c>
      <c r="Y351" s="16" t="n">
        <f aca="false">IF(AND(ISNUMBER(W351),ISNUMBER(X351)),X351/W351-1,"")</f>
        <v>-0.0728576192064021</v>
      </c>
      <c r="Z351" s="16" t="n">
        <v>-0.0222357141304905</v>
      </c>
      <c r="AA351" s="16" t="n">
        <v>0.0529585805443009</v>
      </c>
      <c r="AC351" s="16" t="n">
        <f aca="false">IF(AND(ISNUMBER(N351),ISNUMBER(AA351)),N351-AA351,"")</f>
        <v>0.0132744715820838</v>
      </c>
    </row>
    <row r="352" customFormat="false" ht="15" hidden="false" customHeight="false" outlineLevel="0" collapsed="false">
      <c r="A352" s="0" t="s">
        <v>912</v>
      </c>
      <c r="B352" s="0" t="s">
        <v>913</v>
      </c>
      <c r="C352" s="0" t="s">
        <v>31</v>
      </c>
      <c r="D352" s="15" t="n">
        <v>1298</v>
      </c>
      <c r="E352" s="15" t="n">
        <v>1266.9</v>
      </c>
      <c r="F352" s="15" t="n">
        <v>1273.9</v>
      </c>
      <c r="G352" s="15" t="n">
        <v>1265.3</v>
      </c>
      <c r="H352" s="15" t="n">
        <v>1217.6</v>
      </c>
      <c r="I352" s="15" t="n">
        <v>351.2</v>
      </c>
      <c r="J352" s="15" t="n">
        <v>312.7</v>
      </c>
      <c r="K352" s="15" t="n">
        <v>320.2</v>
      </c>
      <c r="L352" s="15" t="n">
        <v>302.2</v>
      </c>
      <c r="M352" s="15" t="n">
        <v>266.6</v>
      </c>
      <c r="N352" s="16" t="n">
        <v>0.0660315374507228</v>
      </c>
      <c r="O352" s="16" t="n">
        <v>0.317329332333083</v>
      </c>
      <c r="P352" s="16" t="n">
        <v>0.0245481095587654</v>
      </c>
      <c r="Q352" s="16" t="n">
        <v>-0.00549493680822666</v>
      </c>
      <c r="R352" s="16" t="n">
        <v>0.00679680708132469</v>
      </c>
      <c r="S352" s="16" t="n">
        <v>0.0391754270696452</v>
      </c>
      <c r="V352" s="17" t="s">
        <v>34</v>
      </c>
      <c r="W352" s="18" t="n">
        <v>143.27</v>
      </c>
      <c r="X352" s="18" t="n">
        <v>96.38</v>
      </c>
      <c r="Y352" s="16" t="n">
        <f aca="false">IF(AND(ISNUMBER(W352),ISNUMBER(X352)),X352/W352-1,"")</f>
        <v>-0.327284148809939</v>
      </c>
      <c r="Z352" s="16" t="n">
        <v>-0.327284188041698</v>
      </c>
      <c r="AA352" s="16" t="n">
        <v>0.0827923521565139</v>
      </c>
      <c r="AC352" s="16" t="n">
        <f aca="false">IF(AND(ISNUMBER(N352),ISNUMBER(AA352)),N352-AA352,"")</f>
        <v>-0.0167608147057912</v>
      </c>
    </row>
    <row r="353" customFormat="false" ht="15" hidden="false" customHeight="false" outlineLevel="0" collapsed="false">
      <c r="A353" s="0" t="s">
        <v>914</v>
      </c>
      <c r="B353" s="0" t="s">
        <v>915</v>
      </c>
      <c r="C353" s="0" t="s">
        <v>31</v>
      </c>
      <c r="D353" s="15" t="n">
        <v>2787.306</v>
      </c>
      <c r="E353" s="15" t="n">
        <v>3104.167</v>
      </c>
      <c r="F353" s="15" t="n">
        <v>3091.021</v>
      </c>
      <c r="G353" s="15" t="n">
        <v>3181.418</v>
      </c>
      <c r="H353" s="15" t="n">
        <v>2614.718</v>
      </c>
      <c r="I353" s="15" t="n">
        <v>642.756</v>
      </c>
      <c r="J353" s="15" t="n">
        <v>646.691</v>
      </c>
      <c r="K353" s="15" t="n">
        <v>446.667</v>
      </c>
      <c r="L353" s="15" t="n">
        <v>436.794</v>
      </c>
      <c r="M353" s="15" t="n">
        <v>193.066</v>
      </c>
      <c r="N353" s="16" t="n">
        <v>0.0660063532663944</v>
      </c>
      <c r="O353" s="16" t="n">
        <v>2.32920348481866</v>
      </c>
      <c r="P353" s="16" t="n">
        <v>-0.102076015884455</v>
      </c>
      <c r="Q353" s="16" t="n">
        <v>0.0042529636647568</v>
      </c>
      <c r="R353" s="16" t="n">
        <v>-0.0284140593911268</v>
      </c>
      <c r="S353" s="16" t="n">
        <v>0.21673465360318</v>
      </c>
      <c r="V353" s="17" t="s">
        <v>84</v>
      </c>
      <c r="W353" s="18" t="n">
        <v>190.89</v>
      </c>
      <c r="X353" s="18" t="n">
        <v>168.45</v>
      </c>
      <c r="Y353" s="16" t="n">
        <f aca="false">IF(AND(ISNUMBER(W353),ISNUMBER(X353)),X353/W353-1,"")</f>
        <v>-0.117554612604118</v>
      </c>
      <c r="Z353" s="16" t="n">
        <v>-0.0909439829301136</v>
      </c>
      <c r="AA353" s="16" t="n">
        <v>0.260420924761868</v>
      </c>
      <c r="AC353" s="16" t="n">
        <f aca="false">IF(AND(ISNUMBER(N353),ISNUMBER(AA353)),N353-AA353,"")</f>
        <v>-0.194414571495474</v>
      </c>
    </row>
    <row r="354" customFormat="false" ht="15" hidden="false" customHeight="false" outlineLevel="0" collapsed="false">
      <c r="A354" s="0" t="s">
        <v>916</v>
      </c>
      <c r="B354" s="0" t="s">
        <v>917</v>
      </c>
      <c r="C354" s="0" t="s">
        <v>31</v>
      </c>
      <c r="D354" s="15" t="n">
        <v>25310</v>
      </c>
      <c r="E354" s="15" t="n">
        <v>24062</v>
      </c>
      <c r="F354" s="15" t="n">
        <v>24564</v>
      </c>
      <c r="G354" s="15" t="n">
        <v>23993</v>
      </c>
      <c r="H354" s="15" t="n">
        <v>23743</v>
      </c>
      <c r="I354" s="15" t="n">
        <v>7174</v>
      </c>
      <c r="J354" s="15" t="n">
        <v>6395</v>
      </c>
      <c r="K354" s="15" t="n">
        <v>5591</v>
      </c>
      <c r="L354" s="15" t="n">
        <v>7096</v>
      </c>
      <c r="M354" s="15" t="n">
        <v>6710</v>
      </c>
      <c r="N354" s="16" t="n">
        <v>0.065998399528282</v>
      </c>
      <c r="O354" s="16" t="n">
        <v>0.0691505216095381</v>
      </c>
      <c r="P354" s="16" t="n">
        <v>0.0518660128002659</v>
      </c>
      <c r="Q354" s="16" t="n">
        <v>-0.0204364110079791</v>
      </c>
      <c r="R354" s="16" t="n">
        <v>0.023798607927312</v>
      </c>
      <c r="S354" s="16" t="n">
        <v>0.0105294191972372</v>
      </c>
      <c r="V354" s="17" t="s">
        <v>147</v>
      </c>
      <c r="W354" s="18" t="n">
        <v>176.69</v>
      </c>
      <c r="X354" s="18" t="n">
        <v>269.17</v>
      </c>
      <c r="Y354" s="16" t="n">
        <f aca="false">IF(AND(ISNUMBER(W354),ISNUMBER(X354)),X354/W354-1,"")</f>
        <v>0.523402569471957</v>
      </c>
      <c r="Z354" s="16" t="n">
        <v>0.557733811170829</v>
      </c>
      <c r="AA354" s="16" t="n">
        <v>0.0577360003563952</v>
      </c>
      <c r="AC354" s="16" t="n">
        <f aca="false">IF(AND(ISNUMBER(N354),ISNUMBER(AA354)),N354-AA354,"")</f>
        <v>0.00826239917188686</v>
      </c>
    </row>
    <row r="355" customFormat="false" ht="15" hidden="false" customHeight="false" outlineLevel="0" collapsed="false">
      <c r="A355" s="0" t="s">
        <v>918</v>
      </c>
      <c r="B355" s="0" t="s">
        <v>919</v>
      </c>
      <c r="C355" s="0" t="s">
        <v>31</v>
      </c>
      <c r="D355" s="15" t="n">
        <v>4832</v>
      </c>
      <c r="E355" s="15" t="n">
        <v>4452</v>
      </c>
      <c r="F355" s="15" t="n">
        <v>4258</v>
      </c>
      <c r="G355" s="15" t="n">
        <v>5139</v>
      </c>
      <c r="H355" s="15" t="n">
        <v>4538</v>
      </c>
      <c r="I355" s="15" t="n">
        <v>1308</v>
      </c>
      <c r="J355" s="15" t="n">
        <v>1162</v>
      </c>
      <c r="K355" s="15" t="n">
        <v>934</v>
      </c>
      <c r="L355" s="15" t="n">
        <v>1702</v>
      </c>
      <c r="M355" s="15" t="n">
        <v>1330</v>
      </c>
      <c r="N355" s="16" t="n">
        <v>0.0647862494490965</v>
      </c>
      <c r="O355" s="16" t="n">
        <v>-0.0165413533834586</v>
      </c>
      <c r="P355" s="16" t="n">
        <v>0.0853548966756514</v>
      </c>
      <c r="Q355" s="16" t="n">
        <v>0.0455612963832786</v>
      </c>
      <c r="R355" s="16" t="n">
        <v>-0.171434131153921</v>
      </c>
      <c r="S355" s="16" t="n">
        <v>0.132437197003085</v>
      </c>
      <c r="V355" s="17" t="s">
        <v>43</v>
      </c>
      <c r="W355" s="18" t="n">
        <v>327.03</v>
      </c>
      <c r="X355" s="18" t="n">
        <v>230.3</v>
      </c>
      <c r="Y355" s="16" t="n">
        <f aca="false">IF(AND(ISNUMBER(W355),ISNUMBER(X355)),X355/W355-1,"")</f>
        <v>-0.295783261474482</v>
      </c>
      <c r="Z355" s="16" t="n">
        <v>-0.279486416406444</v>
      </c>
      <c r="AA355" s="16" t="n">
        <v>0.104136253041363</v>
      </c>
      <c r="AB355" s="19" t="s">
        <v>35</v>
      </c>
      <c r="AC355" s="16" t="n">
        <f aca="false">IF(AND(ISNUMBER(N355),ISNUMBER(AA355)),N355-AA355,"")</f>
        <v>-0.039350003592266</v>
      </c>
    </row>
    <row r="356" customFormat="false" ht="15" hidden="false" customHeight="false" outlineLevel="0" collapsed="false">
      <c r="A356" s="0" t="s">
        <v>920</v>
      </c>
      <c r="B356" s="0" t="s">
        <v>921</v>
      </c>
      <c r="C356" s="0" t="s">
        <v>65</v>
      </c>
      <c r="D356" s="15" t="n">
        <v>622.918</v>
      </c>
      <c r="E356" s="15" t="n">
        <v>611.019</v>
      </c>
      <c r="F356" s="15" t="n">
        <v>607.621</v>
      </c>
      <c r="G356" s="15" t="n">
        <v>596.901</v>
      </c>
      <c r="H356" s="15" t="n">
        <v>585.52</v>
      </c>
      <c r="I356" s="15" t="n">
        <v>166.301</v>
      </c>
      <c r="J356" s="15" t="n">
        <v>184.961</v>
      </c>
      <c r="K356" s="15" t="n">
        <v>192.071</v>
      </c>
      <c r="L356" s="15" t="n">
        <v>177.321</v>
      </c>
      <c r="M356" s="15" t="n">
        <v>194.155</v>
      </c>
      <c r="N356" s="16" t="n">
        <v>0.0638714305232955</v>
      </c>
      <c r="O356" s="16" t="n">
        <v>-0.143462697329453</v>
      </c>
      <c r="P356" s="16" t="n">
        <v>0.0194740261759454</v>
      </c>
      <c r="Q356" s="16" t="n">
        <v>0.00559230178022152</v>
      </c>
      <c r="R356" s="16" t="n">
        <v>0.0179594271076777</v>
      </c>
      <c r="S356" s="16" t="n">
        <v>0.0194374231452383</v>
      </c>
      <c r="V356" s="17" t="s">
        <v>51</v>
      </c>
      <c r="W356" s="18" t="n">
        <v>286.16</v>
      </c>
      <c r="X356" s="18" t="n">
        <v>279.43</v>
      </c>
      <c r="Y356" s="16" t="n">
        <f aca="false">IF(AND(ISNUMBER(W356),ISNUMBER(X356)),X356/W356-1,"")</f>
        <v>-0.0235183114341627</v>
      </c>
      <c r="Z356" s="16" t="n">
        <v>-0.00603228573900516</v>
      </c>
      <c r="AA356" s="16" t="n">
        <v>0.0593658857841755</v>
      </c>
      <c r="AC356" s="16" t="n">
        <f aca="false">IF(AND(ISNUMBER(N356),ISNUMBER(AA356)),N356-AA356,"")</f>
        <v>0.00450554473912002</v>
      </c>
    </row>
    <row r="357" customFormat="false" ht="15" hidden="false" customHeight="false" outlineLevel="0" collapsed="false">
      <c r="A357" s="0" t="s">
        <v>922</v>
      </c>
      <c r="B357" s="0" t="s">
        <v>923</v>
      </c>
      <c r="C357" s="0" t="s">
        <v>31</v>
      </c>
      <c r="D357" s="15" t="n">
        <v>920.6</v>
      </c>
      <c r="E357" s="15" t="n">
        <v>886.9</v>
      </c>
      <c r="F357" s="15" t="n">
        <v>899.1</v>
      </c>
      <c r="G357" s="15" t="n">
        <v>878.7</v>
      </c>
      <c r="H357" s="15" t="n">
        <v>865.4</v>
      </c>
      <c r="I357" s="15" t="n">
        <v>202.7</v>
      </c>
      <c r="J357" s="15" t="n">
        <v>179.8</v>
      </c>
      <c r="K357" s="15" t="n">
        <v>186</v>
      </c>
      <c r="L357" s="15" t="n">
        <v>185.9</v>
      </c>
      <c r="M357" s="15" t="n">
        <v>188.6</v>
      </c>
      <c r="N357" s="16" t="n">
        <v>0.0637855327016408</v>
      </c>
      <c r="O357" s="16" t="n">
        <v>0.0747613997879109</v>
      </c>
      <c r="P357" s="16" t="n">
        <v>0.0379975194497688</v>
      </c>
      <c r="Q357" s="16" t="n">
        <v>-0.0135691246802357</v>
      </c>
      <c r="R357" s="16" t="n">
        <v>0.0232161147149197</v>
      </c>
      <c r="S357" s="16" t="n">
        <v>0.0153686156690547</v>
      </c>
      <c r="V357" s="17" t="s">
        <v>47</v>
      </c>
      <c r="W357" s="18" t="n">
        <v>159.76</v>
      </c>
      <c r="X357" s="18" t="n">
        <v>229.67</v>
      </c>
      <c r="Y357" s="16" t="n">
        <f aca="false">IF(AND(ISNUMBER(W357),ISNUMBER(X357)),X357/W357-1,"")</f>
        <v>0.437593890836254</v>
      </c>
      <c r="Z357" s="16" t="n">
        <v>0.458964136784046</v>
      </c>
      <c r="AA357" s="16" t="n">
        <v>0.0721010901883052</v>
      </c>
      <c r="AC357" s="16" t="n">
        <f aca="false">IF(AND(ISNUMBER(N357),ISNUMBER(AA357)),N357-AA357,"")</f>
        <v>-0.00831555748666446</v>
      </c>
    </row>
    <row r="358" customFormat="false" ht="15" hidden="false" customHeight="false" outlineLevel="0" collapsed="false">
      <c r="A358" s="0" t="s">
        <v>924</v>
      </c>
      <c r="B358" s="0" t="s">
        <v>925</v>
      </c>
      <c r="C358" s="0" t="s">
        <v>31</v>
      </c>
      <c r="D358" s="15" t="n">
        <v>3627</v>
      </c>
      <c r="E358" s="15" t="n">
        <v>3712</v>
      </c>
      <c r="F358" s="15" t="n">
        <v>4229</v>
      </c>
      <c r="G358" s="15" t="n">
        <v>3481</v>
      </c>
      <c r="H358" s="15" t="n">
        <v>3411</v>
      </c>
      <c r="I358" s="15" t="n">
        <v>254</v>
      </c>
      <c r="J358" s="15" t="n">
        <v>557</v>
      </c>
      <c r="K358" s="15" t="n">
        <v>608</v>
      </c>
      <c r="L358" s="15" t="n">
        <v>258</v>
      </c>
      <c r="M358" s="15" t="n">
        <v>141</v>
      </c>
      <c r="N358" s="16" t="n">
        <v>0.0633245382585752</v>
      </c>
      <c r="O358" s="16" t="n">
        <v>0.801418439716312</v>
      </c>
      <c r="P358" s="16" t="n">
        <v>-0.0228987068965517</v>
      </c>
      <c r="Q358" s="16" t="n">
        <v>-0.122251123196973</v>
      </c>
      <c r="R358" s="16" t="n">
        <v>0.21488078138466</v>
      </c>
      <c r="S358" s="16" t="n">
        <v>0.020521841102316</v>
      </c>
      <c r="V358" s="17" t="s">
        <v>84</v>
      </c>
      <c r="W358" s="18" t="n">
        <v>85.33</v>
      </c>
      <c r="X358" s="18" t="n">
        <v>98.83</v>
      </c>
      <c r="Y358" s="16" t="n">
        <f aca="false">IF(AND(ISNUMBER(W358),ISNUMBER(X358)),X358/W358-1,"")</f>
        <v>0.158209305050979</v>
      </c>
      <c r="Z358" s="16" t="n">
        <v>0.174685223419552</v>
      </c>
      <c r="AA358" s="16" t="n">
        <v>-0.118832343063808</v>
      </c>
      <c r="AC358" s="16" t="n">
        <f aca="false">IF(AND(ISNUMBER(N358),ISNUMBER(AA358)),N358-AA358,"")</f>
        <v>0.182156881322383</v>
      </c>
    </row>
    <row r="359" customFormat="false" ht="15" hidden="false" customHeight="false" outlineLevel="0" collapsed="false">
      <c r="A359" s="0" t="s">
        <v>926</v>
      </c>
      <c r="B359" s="0" t="s">
        <v>927</v>
      </c>
      <c r="C359" s="0" t="s">
        <v>31</v>
      </c>
      <c r="D359" s="15" t="n">
        <v>7404</v>
      </c>
      <c r="E359" s="15" t="n">
        <v>7597</v>
      </c>
      <c r="F359" s="15" t="n">
        <v>6595</v>
      </c>
      <c r="G359" s="15" t="n">
        <v>6351</v>
      </c>
      <c r="H359" s="15" t="n">
        <v>6974</v>
      </c>
      <c r="I359" s="15" t="n">
        <v>1899</v>
      </c>
      <c r="J359" s="15" t="n">
        <v>1754</v>
      </c>
      <c r="K359" s="15" t="n">
        <v>1219</v>
      </c>
      <c r="L359" s="15" t="n">
        <v>1170</v>
      </c>
      <c r="M359" s="15" t="n">
        <v>1829</v>
      </c>
      <c r="N359" s="16" t="n">
        <v>0.0616575853168913</v>
      </c>
      <c r="O359" s="16" t="n">
        <v>0.0382722799343904</v>
      </c>
      <c r="P359" s="16" t="n">
        <v>-0.0254047650388312</v>
      </c>
      <c r="Q359" s="16" t="n">
        <v>0.151933282789992</v>
      </c>
      <c r="R359" s="16" t="n">
        <v>0.0384191465910879</v>
      </c>
      <c r="S359" s="16" t="n">
        <v>-0.0893318038428449</v>
      </c>
      <c r="V359" s="17" t="s">
        <v>51</v>
      </c>
      <c r="W359" s="18" t="n">
        <v>199.66</v>
      </c>
      <c r="X359" s="18" t="n">
        <v>170.38</v>
      </c>
      <c r="Y359" s="16" t="n">
        <f aca="false">IF(AND(ISNUMBER(W359),ISNUMBER(X359)),X359/W359-1,"")</f>
        <v>-0.146649303816488</v>
      </c>
      <c r="Z359" s="16" t="n">
        <v>-0.129133011894726</v>
      </c>
      <c r="AA359" s="16" t="n">
        <v>0.121041633177946</v>
      </c>
      <c r="AC359" s="16" t="n">
        <f aca="false">IF(AND(ISNUMBER(N359),ISNUMBER(AA359)),N359-AA359,"")</f>
        <v>-0.0593840478610544</v>
      </c>
    </row>
    <row r="360" customFormat="false" ht="15" hidden="false" customHeight="false" outlineLevel="0" collapsed="false">
      <c r="A360" s="0" t="s">
        <v>928</v>
      </c>
      <c r="B360" s="0" t="s">
        <v>929</v>
      </c>
      <c r="C360" s="0" t="s">
        <v>31</v>
      </c>
      <c r="D360" s="15" t="n">
        <v>4301</v>
      </c>
      <c r="E360" s="15" t="n">
        <v>4016</v>
      </c>
      <c r="F360" s="15" t="n">
        <v>4093</v>
      </c>
      <c r="G360" s="15" t="n">
        <v>4059</v>
      </c>
      <c r="H360" s="15" t="n">
        <v>4053</v>
      </c>
      <c r="I360" s="15" t="n">
        <v>1147</v>
      </c>
      <c r="J360" s="15" t="n">
        <v>1020</v>
      </c>
      <c r="K360" s="15" t="n">
        <v>1085</v>
      </c>
      <c r="L360" s="15" t="n">
        <v>1112</v>
      </c>
      <c r="M360" s="15" t="n">
        <v>1068</v>
      </c>
      <c r="N360" s="16" t="n">
        <v>0.0611892425363927</v>
      </c>
      <c r="O360" s="16" t="n">
        <v>0.0739700374531835</v>
      </c>
      <c r="P360" s="16" t="n">
        <v>0.0709661354581674</v>
      </c>
      <c r="Q360" s="16" t="n">
        <v>-0.0188126068898119</v>
      </c>
      <c r="R360" s="16" t="n">
        <v>0.00837644740083765</v>
      </c>
      <c r="S360" s="16" t="n">
        <v>0.00148038490007396</v>
      </c>
      <c r="V360" s="17" t="s">
        <v>47</v>
      </c>
      <c r="W360" s="18" t="n">
        <v>259.56</v>
      </c>
      <c r="X360" s="18" t="n">
        <v>273.42</v>
      </c>
      <c r="Y360" s="16" t="n">
        <f aca="false">IF(AND(ISNUMBER(W360),ISNUMBER(X360)),X360/W360-1,"")</f>
        <v>0.0533980582524272</v>
      </c>
      <c r="Z360" s="16" t="n">
        <v>0.0800216427998965</v>
      </c>
      <c r="AA360" s="16" t="n">
        <v>0.00645641917059847</v>
      </c>
      <c r="AC360" s="16" t="n">
        <f aca="false">IF(AND(ISNUMBER(N360),ISNUMBER(AA360)),N360-AA360,"")</f>
        <v>0.0547328233657942</v>
      </c>
    </row>
    <row r="361" customFormat="false" ht="15" hidden="false" customHeight="false" outlineLevel="0" collapsed="false">
      <c r="A361" s="0" t="s">
        <v>930</v>
      </c>
      <c r="B361" s="0" t="s">
        <v>931</v>
      </c>
      <c r="C361" s="0" t="s">
        <v>31</v>
      </c>
      <c r="D361" s="15" t="n">
        <v>6536.951</v>
      </c>
      <c r="E361" s="15" t="n">
        <v>6264.94</v>
      </c>
      <c r="F361" s="15" t="n">
        <v>6009.415</v>
      </c>
      <c r="G361" s="15" t="n">
        <v>6260.232</v>
      </c>
      <c r="H361" s="15" t="n">
        <v>6164.425</v>
      </c>
      <c r="I361" s="15" t="n">
        <v>407.485</v>
      </c>
      <c r="J361" s="15" t="n">
        <v>344.003</v>
      </c>
      <c r="K361" s="15" t="n">
        <v>48.219</v>
      </c>
      <c r="L361" s="15" t="n">
        <v>401.128</v>
      </c>
      <c r="M361" s="15" t="n">
        <v>422.55</v>
      </c>
      <c r="N361" s="16" t="n">
        <v>0.0604315893209828</v>
      </c>
      <c r="O361" s="16" t="n">
        <v>-0.0356525854928411</v>
      </c>
      <c r="P361" s="16" t="n">
        <v>0.0434179736757256</v>
      </c>
      <c r="Q361" s="16" t="n">
        <v>0.0425207778128154</v>
      </c>
      <c r="R361" s="16" t="n">
        <v>-0.0400651285767045</v>
      </c>
      <c r="S361" s="16" t="n">
        <v>0.0155419199682048</v>
      </c>
      <c r="V361" s="17" t="s">
        <v>43</v>
      </c>
      <c r="W361" s="18" t="n">
        <v>138.61</v>
      </c>
      <c r="X361" s="18" t="n">
        <v>128.76</v>
      </c>
      <c r="Y361" s="16" t="n">
        <f aca="false">IF(AND(ISNUMBER(W361),ISNUMBER(X361)),X361/W361-1,"")</f>
        <v>-0.07106269388933</v>
      </c>
      <c r="Z361" s="16" t="n">
        <v>-0.0373552367786594</v>
      </c>
      <c r="AA361" s="16" t="n">
        <v>0.0338542107786797</v>
      </c>
      <c r="AC361" s="16" t="n">
        <f aca="false">IF(AND(ISNUMBER(N361),ISNUMBER(AA361)),N361-AA361,"")</f>
        <v>0.0265773785423031</v>
      </c>
    </row>
    <row r="362" customFormat="false" ht="15" hidden="false" customHeight="false" outlineLevel="0" collapsed="false">
      <c r="A362" s="0" t="s">
        <v>932</v>
      </c>
      <c r="B362" s="0" t="s">
        <v>933</v>
      </c>
      <c r="C362" s="0" t="s">
        <v>31</v>
      </c>
      <c r="D362" s="15" t="n">
        <v>434.6</v>
      </c>
      <c r="E362" s="15" t="n">
        <v>428.9</v>
      </c>
      <c r="F362" s="15" t="n">
        <v>425.3</v>
      </c>
      <c r="G362" s="15" t="n">
        <v>419.1</v>
      </c>
      <c r="H362" s="15" t="n">
        <v>409.9</v>
      </c>
      <c r="I362" s="15" t="n">
        <v>296.3</v>
      </c>
      <c r="J362" s="15" t="n">
        <v>293.6</v>
      </c>
      <c r="K362" s="15" t="n">
        <v>284.8</v>
      </c>
      <c r="L362" s="15" t="n">
        <v>284.3</v>
      </c>
      <c r="M362" s="15" t="n">
        <v>280.7</v>
      </c>
      <c r="N362" s="16" t="n">
        <v>0.0602585996584533</v>
      </c>
      <c r="O362" s="16" t="n">
        <v>0.0555753473459208</v>
      </c>
      <c r="P362" s="16" t="n">
        <v>0.013289811144789</v>
      </c>
      <c r="Q362" s="16" t="n">
        <v>0.00846461321420167</v>
      </c>
      <c r="R362" s="16" t="n">
        <v>0.0147936053447864</v>
      </c>
      <c r="S362" s="16" t="n">
        <v>0.0224444986582093</v>
      </c>
      <c r="V362" s="17" t="s">
        <v>34</v>
      </c>
      <c r="W362" s="18" t="n">
        <v>285.26</v>
      </c>
      <c r="X362" s="18" t="n">
        <v>293.28</v>
      </c>
      <c r="Y362" s="16" t="n">
        <f aca="false">IF(AND(ISNUMBER(W362),ISNUMBER(X362)),X362/W362-1,"")</f>
        <v>0.0281147023767789</v>
      </c>
      <c r="Z362" s="16" t="n">
        <v>0.0409252800096009</v>
      </c>
      <c r="AA362" s="16" t="n">
        <v>0.0588995091707569</v>
      </c>
      <c r="AB362" s="17" t="s">
        <v>97</v>
      </c>
      <c r="AC362" s="16" t="n">
        <f aca="false">IF(AND(ISNUMBER(N362),ISNUMBER(AA362)),N362-AA362,"")</f>
        <v>0.00135909048769633</v>
      </c>
    </row>
    <row r="363" customFormat="false" ht="15" hidden="false" customHeight="false" outlineLevel="0" collapsed="false">
      <c r="A363" s="0" t="s">
        <v>934</v>
      </c>
      <c r="B363" s="0" t="s">
        <v>935</v>
      </c>
      <c r="C363" s="0" t="s">
        <v>38</v>
      </c>
      <c r="D363" s="15" t="n">
        <v>187937</v>
      </c>
      <c r="E363" s="15" t="n">
        <v>177751</v>
      </c>
      <c r="F363" s="15" t="n">
        <v>190656</v>
      </c>
      <c r="G363" s="15" t="n">
        <v>179496</v>
      </c>
      <c r="H363" s="15" t="n">
        <v>177402</v>
      </c>
      <c r="I363" s="15" t="n">
        <v>9383</v>
      </c>
      <c r="J363" s="15" t="n">
        <v>7493</v>
      </c>
      <c r="K363" s="15" t="n">
        <v>8708</v>
      </c>
      <c r="L363" s="15" t="n">
        <v>6696</v>
      </c>
      <c r="M363" s="15" t="n">
        <v>7286</v>
      </c>
      <c r="N363" s="16" t="n">
        <v>0.0593848998320199</v>
      </c>
      <c r="O363" s="16" t="n">
        <v>0.287812242657151</v>
      </c>
      <c r="P363" s="16" t="n">
        <v>0.0573048815477832</v>
      </c>
      <c r="Q363" s="16" t="n">
        <v>-0.0676873531386372</v>
      </c>
      <c r="R363" s="16" t="n">
        <v>0.0621740874448455</v>
      </c>
      <c r="S363" s="16" t="n">
        <v>0.0118037000710252</v>
      </c>
      <c r="V363" s="17" t="s">
        <v>84</v>
      </c>
      <c r="W363" s="18" t="n">
        <v>102.73</v>
      </c>
      <c r="X363" s="18" t="n">
        <v>110.53</v>
      </c>
      <c r="Y363" s="16" t="n">
        <f aca="false">IF(AND(ISNUMBER(W363),ISNUMBER(X363)),X363/W363-1,"")</f>
        <v>0.0759271877737759</v>
      </c>
      <c r="Z363" s="16" t="n">
        <v>0.0849859697778801</v>
      </c>
      <c r="AA363" s="16" t="n">
        <v>0.0476392948888298</v>
      </c>
      <c r="AC363" s="16" t="n">
        <f aca="false">IF(AND(ISNUMBER(N363),ISNUMBER(AA363)),N363-AA363,"")</f>
        <v>0.0117456049431901</v>
      </c>
    </row>
    <row r="364" customFormat="false" ht="15" hidden="false" customHeight="false" outlineLevel="0" collapsed="false">
      <c r="A364" s="0" t="s">
        <v>936</v>
      </c>
      <c r="B364" s="0" t="s">
        <v>937</v>
      </c>
      <c r="C364" s="0" t="s">
        <v>31</v>
      </c>
      <c r="D364" s="15" t="n">
        <v>63672</v>
      </c>
      <c r="E364" s="15" t="n">
        <v>60940</v>
      </c>
      <c r="F364" s="15" t="n">
        <v>65627</v>
      </c>
      <c r="G364" s="15" t="n">
        <v>64009</v>
      </c>
      <c r="H364" s="15" t="n">
        <v>60159</v>
      </c>
      <c r="I364" s="15" t="n">
        <v>814</v>
      </c>
      <c r="J364" s="15" t="n">
        <v>842</v>
      </c>
      <c r="K364" s="15" t="n">
        <v>763</v>
      </c>
      <c r="L364" s="15" t="n">
        <v>754</v>
      </c>
      <c r="M364" s="15" t="n">
        <v>585</v>
      </c>
      <c r="N364" s="16" t="n">
        <v>0.0583952525806613</v>
      </c>
      <c r="O364" s="16" t="n">
        <v>0.391452991452991</v>
      </c>
      <c r="P364" s="16" t="n">
        <v>0.0448309812930752</v>
      </c>
      <c r="Q364" s="16" t="n">
        <v>-0.0714187758087372</v>
      </c>
      <c r="R364" s="16" t="n">
        <v>0.025277695324095</v>
      </c>
      <c r="S364" s="16" t="n">
        <v>0.0639970744194551</v>
      </c>
      <c r="V364" s="17" t="s">
        <v>147</v>
      </c>
      <c r="W364" s="18" t="n">
        <v>154.58</v>
      </c>
      <c r="X364" s="18" t="n">
        <v>221.27</v>
      </c>
      <c r="Y364" s="16" t="n">
        <f aca="false">IF(AND(ISNUMBER(W364),ISNUMBER(X364)),X364/W364-1,"")</f>
        <v>0.431427092767499</v>
      </c>
      <c r="Z364" s="16" t="n">
        <v>0.446313897813766</v>
      </c>
      <c r="AA364" s="16" t="n">
        <v>0.00487747841047659</v>
      </c>
      <c r="AC364" s="16" t="n">
        <f aca="false">IF(AND(ISNUMBER(N364),ISNUMBER(AA364)),N364-AA364,"")</f>
        <v>0.0535177741701847</v>
      </c>
    </row>
    <row r="365" customFormat="false" ht="15" hidden="false" customHeight="false" outlineLevel="0" collapsed="false">
      <c r="A365" s="0" t="s">
        <v>938</v>
      </c>
      <c r="B365" s="0" t="s">
        <v>939</v>
      </c>
      <c r="C365" s="0" t="s">
        <v>31</v>
      </c>
      <c r="D365" s="15" t="n">
        <v>1428.61</v>
      </c>
      <c r="E365" s="15" t="n">
        <v>1396.436</v>
      </c>
      <c r="F365" s="15" t="n">
        <v>1504.921</v>
      </c>
      <c r="G365" s="15" t="n">
        <v>1657.628</v>
      </c>
      <c r="H365" s="15" t="n">
        <v>1350.128</v>
      </c>
      <c r="I365" s="15" t="n">
        <v>248.633</v>
      </c>
      <c r="J365" s="15" t="n">
        <v>227.973</v>
      </c>
      <c r="K365" s="15" t="n">
        <v>256.277</v>
      </c>
      <c r="L365" s="15" t="n">
        <v>349.412</v>
      </c>
      <c r="M365" s="15" t="n">
        <v>212.55</v>
      </c>
      <c r="N365" s="16" t="n">
        <v>0.0581293032956876</v>
      </c>
      <c r="O365" s="16" t="n">
        <v>0.169762408844978</v>
      </c>
      <c r="P365" s="16" t="n">
        <v>0.0230400820374153</v>
      </c>
      <c r="Q365" s="16" t="n">
        <v>-0.0720868404388004</v>
      </c>
      <c r="R365" s="16" t="n">
        <v>-0.0921238058237434</v>
      </c>
      <c r="S365" s="16" t="n">
        <v>0.227756183117453</v>
      </c>
      <c r="V365" s="17" t="s">
        <v>51</v>
      </c>
      <c r="W365" s="18" t="n">
        <v>168.23</v>
      </c>
      <c r="X365" s="18" t="n">
        <v>121.48</v>
      </c>
      <c r="Y365" s="16" t="n">
        <f aca="false">IF(AND(ISNUMBER(W365),ISNUMBER(X365)),X365/W365-1,"")</f>
        <v>-0.277893360280568</v>
      </c>
      <c r="Z365" s="16" t="n">
        <v>-0.248024998099121</v>
      </c>
      <c r="AA365" s="16" t="n">
        <v>0.189627563820485</v>
      </c>
      <c r="AC365" s="16" t="n">
        <f aca="false">IF(AND(ISNUMBER(N365),ISNUMBER(AA365)),N365-AA365,"")</f>
        <v>-0.131498260524798</v>
      </c>
    </row>
    <row r="366" customFormat="false" ht="15" hidden="false" customHeight="false" outlineLevel="0" collapsed="false">
      <c r="A366" s="0" t="s">
        <v>940</v>
      </c>
      <c r="B366" s="0" t="s">
        <v>941</v>
      </c>
      <c r="C366" s="0" t="s">
        <v>31</v>
      </c>
      <c r="D366" s="15" t="n">
        <v>3731.1</v>
      </c>
      <c r="E366" s="15" t="n">
        <v>3537.6</v>
      </c>
      <c r="F366" s="15" t="n">
        <v>3515.8</v>
      </c>
      <c r="G366" s="15" t="n">
        <v>3563.5</v>
      </c>
      <c r="H366" s="15" t="n">
        <v>3527.3</v>
      </c>
      <c r="I366" s="15" t="n">
        <v>456.7</v>
      </c>
      <c r="J366" s="15" t="n">
        <v>387.2</v>
      </c>
      <c r="K366" s="15" t="n">
        <v>382</v>
      </c>
      <c r="L366" s="15" t="n">
        <v>403.2</v>
      </c>
      <c r="M366" s="15" t="n">
        <v>398.6</v>
      </c>
      <c r="N366" s="16" t="n">
        <v>0.0577779037790944</v>
      </c>
      <c r="O366" s="16" t="n">
        <v>0.145760160561967</v>
      </c>
      <c r="P366" s="16" t="n">
        <v>0.0546981004070557</v>
      </c>
      <c r="Q366" s="16" t="n">
        <v>0.0062005802377838</v>
      </c>
      <c r="R366" s="16" t="n">
        <v>-0.0133857162901642</v>
      </c>
      <c r="S366" s="16" t="n">
        <v>0.0102628072463358</v>
      </c>
      <c r="V366" s="17" t="s">
        <v>147</v>
      </c>
      <c r="W366" s="18" t="n">
        <v>279.35</v>
      </c>
      <c r="X366" s="18" t="n">
        <v>303.98</v>
      </c>
      <c r="Y366" s="16" t="n">
        <f aca="false">IF(AND(ISNUMBER(W366),ISNUMBER(X366)),X366/W366-1,"")</f>
        <v>0.0881689636656524</v>
      </c>
      <c r="Z366" s="16" t="n">
        <v>0.0991755755852961</v>
      </c>
      <c r="AA366" s="16" t="n">
        <v>0.0951286907386135</v>
      </c>
      <c r="AC366" s="16" t="n">
        <f aca="false">IF(AND(ISNUMBER(N366),ISNUMBER(AA366)),N366-AA366,"")</f>
        <v>-0.0373507869595191</v>
      </c>
    </row>
    <row r="367" customFormat="false" ht="15" hidden="false" customHeight="false" outlineLevel="0" collapsed="false">
      <c r="A367" s="0" t="s">
        <v>942</v>
      </c>
      <c r="B367" s="0" t="s">
        <v>943</v>
      </c>
      <c r="C367" s="0" t="s">
        <v>31</v>
      </c>
      <c r="D367" s="15" t="n">
        <v>5294</v>
      </c>
      <c r="E367" s="15" t="n">
        <v>5131</v>
      </c>
      <c r="F367" s="15" t="n">
        <v>5698</v>
      </c>
      <c r="G367" s="15" t="n">
        <v>5144</v>
      </c>
      <c r="H367" s="15" t="n">
        <v>5006</v>
      </c>
      <c r="I367" s="15" t="n">
        <v>738</v>
      </c>
      <c r="J367" s="15" t="n">
        <v>515</v>
      </c>
      <c r="K367" s="15" t="n">
        <v>827</v>
      </c>
      <c r="L367" s="15" t="n">
        <v>653</v>
      </c>
      <c r="M367" s="15" t="n">
        <v>652</v>
      </c>
      <c r="N367" s="16" t="n">
        <v>0.0575309628445866</v>
      </c>
      <c r="O367" s="16" t="n">
        <v>0.131901840490798</v>
      </c>
      <c r="P367" s="16" t="n">
        <v>0.0317676866107972</v>
      </c>
      <c r="Q367" s="16" t="n">
        <v>-0.0995085995085995</v>
      </c>
      <c r="R367" s="16" t="n">
        <v>0.107698289269051</v>
      </c>
      <c r="S367" s="16" t="n">
        <v>0.0275669196963644</v>
      </c>
      <c r="V367" s="17" t="s">
        <v>147</v>
      </c>
      <c r="W367" s="18" t="n">
        <v>73.98</v>
      </c>
      <c r="X367" s="18" t="n">
        <v>66.09</v>
      </c>
      <c r="Y367" s="16" t="n">
        <f aca="false">IF(AND(ISNUMBER(W367),ISNUMBER(X367)),X367/W367-1,"")</f>
        <v>-0.106650446066504</v>
      </c>
      <c r="Z367" s="16" t="n">
        <v>-0.104950379653922</v>
      </c>
      <c r="AA367" s="16" t="n">
        <v>0.0347179169249845</v>
      </c>
      <c r="AC367" s="16" t="n">
        <f aca="false">IF(AND(ISNUMBER(N367),ISNUMBER(AA367)),N367-AA367,"")</f>
        <v>0.0228130459196021</v>
      </c>
    </row>
    <row r="368" customFormat="false" ht="15" hidden="false" customHeight="false" outlineLevel="0" collapsed="false">
      <c r="A368" s="0" t="s">
        <v>944</v>
      </c>
      <c r="B368" s="0" t="s">
        <v>945</v>
      </c>
      <c r="C368" s="0" t="s">
        <v>31</v>
      </c>
      <c r="D368" s="15" t="n">
        <v>1058.505</v>
      </c>
      <c r="E368" s="15" t="n">
        <v>1018.521</v>
      </c>
      <c r="F368" s="15" t="n">
        <v>1013.09</v>
      </c>
      <c r="G368" s="15" t="n">
        <v>1007.488</v>
      </c>
      <c r="H368" s="15" t="n">
        <v>1001.334</v>
      </c>
      <c r="I368" s="15" t="n">
        <v>744.709</v>
      </c>
      <c r="J368" s="15" t="n">
        <v>1094.985</v>
      </c>
      <c r="K368" s="15" t="n">
        <v>813.849</v>
      </c>
      <c r="L368" s="15" t="n">
        <v>984.048</v>
      </c>
      <c r="M368" s="15" t="n">
        <v>1101.878</v>
      </c>
      <c r="N368" s="16" t="n">
        <v>0.0570948354894572</v>
      </c>
      <c r="O368" s="16" t="n">
        <v>-0.324145685820027</v>
      </c>
      <c r="P368" s="16" t="n">
        <v>0.0392569225376795</v>
      </c>
      <c r="Q368" s="16" t="n">
        <v>0.00536082677748273</v>
      </c>
      <c r="R368" s="16" t="n">
        <v>0.00556036399440996</v>
      </c>
      <c r="S368" s="16" t="n">
        <v>0.00614580150079802</v>
      </c>
      <c r="V368" s="17" t="s">
        <v>535</v>
      </c>
      <c r="W368" s="18" t="n">
        <v>31.89</v>
      </c>
      <c r="X368" s="18" t="n">
        <v>23.7</v>
      </c>
      <c r="Y368" s="16" t="n">
        <f aca="false">IF(AND(ISNUMBER(W368),ISNUMBER(X368)),X368/W368-1,"")</f>
        <v>-0.256820319849483</v>
      </c>
      <c r="Z368" s="16" t="n">
        <v>-0.204715909072726</v>
      </c>
      <c r="AA368" s="16" t="n">
        <v>0.0463227388001919</v>
      </c>
      <c r="AC368" s="16" t="n">
        <f aca="false">IF(AND(ISNUMBER(N368),ISNUMBER(AA368)),N368-AA368,"")</f>
        <v>0.0107720966892653</v>
      </c>
    </row>
    <row r="369" customFormat="false" ht="15" hidden="false" customHeight="false" outlineLevel="0" collapsed="false">
      <c r="A369" s="0" t="s">
        <v>946</v>
      </c>
      <c r="B369" s="0" t="s">
        <v>947</v>
      </c>
      <c r="C369" s="0" t="s">
        <v>31</v>
      </c>
      <c r="D369" s="15" t="n">
        <v>1019.531</v>
      </c>
      <c r="E369" s="15" t="n">
        <v>1119.369</v>
      </c>
      <c r="F369" s="15" t="n">
        <v>1957.549</v>
      </c>
      <c r="G369" s="15" t="n">
        <v>1430.84</v>
      </c>
      <c r="H369" s="15" t="n">
        <v>964.538</v>
      </c>
      <c r="I369" s="15" t="n">
        <v>155.301</v>
      </c>
      <c r="J369" s="15" t="n">
        <v>156.729</v>
      </c>
      <c r="K369" s="15" t="n">
        <v>614.366</v>
      </c>
      <c r="L369" s="15" t="n">
        <v>326.521</v>
      </c>
      <c r="M369" s="15" t="n">
        <v>165.287</v>
      </c>
      <c r="N369" s="16" t="n">
        <v>0.0570148610008108</v>
      </c>
      <c r="O369" s="16" t="n">
        <v>-0.0604161246801019</v>
      </c>
      <c r="P369" s="16" t="n">
        <v>-0.0891913211818444</v>
      </c>
      <c r="Q369" s="16" t="n">
        <v>-0.428178298474266</v>
      </c>
      <c r="R369" s="16" t="n">
        <v>0.368111738559168</v>
      </c>
      <c r="S369" s="16" t="n">
        <v>0.483445960656812</v>
      </c>
      <c r="V369" s="17" t="s">
        <v>43</v>
      </c>
      <c r="W369" s="18" t="n">
        <v>111.23</v>
      </c>
      <c r="X369" s="18" t="n">
        <v>78.59</v>
      </c>
      <c r="Y369" s="16" t="n">
        <f aca="false">IF(AND(ISNUMBER(W369),ISNUMBER(X369)),X369/W369-1,"")</f>
        <v>-0.29344601276634</v>
      </c>
      <c r="Z369" s="16" t="n">
        <v>-0.293446067013971</v>
      </c>
      <c r="AA369" s="16" t="n">
        <v>0.168645430346267</v>
      </c>
      <c r="AC369" s="16" t="n">
        <f aca="false">IF(AND(ISNUMBER(N369),ISNUMBER(AA369)),N369-AA369,"")</f>
        <v>-0.111630569345456</v>
      </c>
    </row>
    <row r="370" customFormat="false" ht="15" hidden="false" customHeight="false" outlineLevel="0" collapsed="false">
      <c r="A370" s="0" t="s">
        <v>948</v>
      </c>
      <c r="B370" s="0" t="s">
        <v>949</v>
      </c>
      <c r="C370" s="0" t="s">
        <v>65</v>
      </c>
      <c r="D370" s="15" t="n">
        <v>18718.144</v>
      </c>
      <c r="E370" s="15" t="n">
        <v>18044.066</v>
      </c>
      <c r="F370" s="15" t="n">
        <v>18742.125</v>
      </c>
      <c r="G370" s="15" t="n">
        <v>17596.26</v>
      </c>
      <c r="H370" s="15" t="n">
        <v>17727.871</v>
      </c>
      <c r="I370" s="15" t="n">
        <v>3175.298</v>
      </c>
      <c r="J370" s="15" t="n">
        <v>2493.547</v>
      </c>
      <c r="K370" s="15" t="n">
        <v>3181.239</v>
      </c>
      <c r="L370" s="15" t="n">
        <v>2665.015</v>
      </c>
      <c r="M370" s="15" t="n">
        <v>2982.782</v>
      </c>
      <c r="N370" s="16" t="n">
        <v>0.0558596686539516</v>
      </c>
      <c r="O370" s="16" t="n">
        <v>0.0645424305229145</v>
      </c>
      <c r="P370" s="16" t="n">
        <v>0.0373573229005038</v>
      </c>
      <c r="Q370" s="16" t="n">
        <v>-0.0372454564250319</v>
      </c>
      <c r="R370" s="16" t="n">
        <v>0.0651198038674128</v>
      </c>
      <c r="S370" s="16" t="n">
        <v>-0.00742395970728804</v>
      </c>
      <c r="V370" s="17" t="s">
        <v>34</v>
      </c>
      <c r="W370" s="18" t="n">
        <v>239.08</v>
      </c>
      <c r="X370" s="18" t="n">
        <v>183.52</v>
      </c>
      <c r="Y370" s="16" t="n">
        <f aca="false">IF(AND(ISNUMBER(W370),ISNUMBER(X370)),X370/W370-1,"")</f>
        <v>-0.23239083152083</v>
      </c>
      <c r="Z370" s="16" t="n">
        <v>-0.216573076230609</v>
      </c>
      <c r="AA370" s="16" t="n">
        <v>0.0765808083985573</v>
      </c>
      <c r="AC370" s="16" t="n">
        <f aca="false">IF(AND(ISNUMBER(N370),ISNUMBER(AA370)),N370-AA370,"")</f>
        <v>-0.0207211397446057</v>
      </c>
    </row>
    <row r="371" customFormat="false" ht="15" hidden="false" customHeight="false" outlineLevel="0" collapsed="false">
      <c r="A371" s="0" t="s">
        <v>950</v>
      </c>
      <c r="B371" s="0" t="s">
        <v>951</v>
      </c>
      <c r="C371" s="0" t="s">
        <v>31</v>
      </c>
      <c r="D371" s="15" t="n">
        <v>6265</v>
      </c>
      <c r="E371" s="15" t="n">
        <v>5951</v>
      </c>
      <c r="F371" s="15" t="n">
        <v>6838</v>
      </c>
      <c r="G371" s="15" t="n">
        <v>6053</v>
      </c>
      <c r="H371" s="15" t="n">
        <v>5936</v>
      </c>
      <c r="I371" s="15" t="n">
        <v>1127</v>
      </c>
      <c r="J371" s="15" t="n">
        <v>1344</v>
      </c>
      <c r="K371" s="15" t="n">
        <v>1502</v>
      </c>
      <c r="L371" s="15" t="n">
        <v>1154</v>
      </c>
      <c r="M371" s="15" t="n">
        <v>760</v>
      </c>
      <c r="N371" s="16" t="n">
        <v>0.0554245283018868</v>
      </c>
      <c r="O371" s="16" t="n">
        <v>0.482894736842105</v>
      </c>
      <c r="P371" s="16" t="n">
        <v>0.0527642413039826</v>
      </c>
      <c r="Q371" s="16" t="n">
        <v>-0.12971629131325</v>
      </c>
      <c r="R371" s="16" t="n">
        <v>0.129687758136461</v>
      </c>
      <c r="S371" s="16" t="n">
        <v>0.019710242587601</v>
      </c>
      <c r="V371" s="17" t="s">
        <v>147</v>
      </c>
      <c r="W371" s="18" t="n">
        <v>185.91</v>
      </c>
      <c r="X371" s="18" t="n">
        <v>221.56</v>
      </c>
      <c r="Y371" s="16" t="n">
        <f aca="false">IF(AND(ISNUMBER(W371),ISNUMBER(X371)),X371/W371-1,"")</f>
        <v>0.191759453499005</v>
      </c>
      <c r="Z371" s="16" t="n">
        <v>0.200551453991096</v>
      </c>
      <c r="AA371" s="16" t="n">
        <v>0.0336061292007661</v>
      </c>
      <c r="AC371" s="16" t="n">
        <f aca="false">IF(AND(ISNUMBER(N371),ISNUMBER(AA371)),N371-AA371,"")</f>
        <v>0.0218183991011207</v>
      </c>
    </row>
    <row r="372" customFormat="false" ht="15" hidden="false" customHeight="false" outlineLevel="0" collapsed="false">
      <c r="A372" s="0" t="s">
        <v>952</v>
      </c>
      <c r="B372" s="0" t="s">
        <v>953</v>
      </c>
      <c r="C372" s="0" t="s">
        <v>31</v>
      </c>
      <c r="D372" s="15" t="n">
        <v>4983</v>
      </c>
      <c r="E372" s="15" t="n">
        <v>4714</v>
      </c>
      <c r="F372" s="15" t="n">
        <v>5252</v>
      </c>
      <c r="G372" s="15" t="n">
        <v>5891</v>
      </c>
      <c r="H372" s="15" t="n">
        <v>4726</v>
      </c>
      <c r="I372" s="15" t="n">
        <v>752</v>
      </c>
      <c r="J372" s="15" t="n">
        <v>626</v>
      </c>
      <c r="K372" s="15" t="n">
        <v>662</v>
      </c>
      <c r="L372" s="15" t="n">
        <v>826</v>
      </c>
      <c r="M372" s="15" t="n">
        <v>835</v>
      </c>
      <c r="N372" s="16" t="n">
        <v>0.0543800253914515</v>
      </c>
      <c r="O372" s="16" t="n">
        <v>-0.0994011976047904</v>
      </c>
      <c r="P372" s="16" t="n">
        <v>0.057064064488757</v>
      </c>
      <c r="Q372" s="16" t="n">
        <v>-0.102437166793603</v>
      </c>
      <c r="R372" s="16" t="n">
        <v>-0.108470548294008</v>
      </c>
      <c r="S372" s="16" t="n">
        <v>0.246508675412611</v>
      </c>
      <c r="V372" s="17" t="s">
        <v>147</v>
      </c>
      <c r="W372" s="18" t="n">
        <v>146.2657</v>
      </c>
      <c r="X372" s="18" t="n">
        <v>182.52</v>
      </c>
      <c r="Y372" s="16" t="n">
        <f aca="false">IF(AND(ISNUMBER(W372),ISNUMBER(X372)),X372/W372-1,"")</f>
        <v>0.247866041047218</v>
      </c>
      <c r="Z372" s="16" t="n">
        <v>0.279071080457037</v>
      </c>
      <c r="AA372" s="16" t="n">
        <v>0.104008016032064</v>
      </c>
      <c r="AC372" s="16" t="n">
        <f aca="false">IF(AND(ISNUMBER(N372),ISNUMBER(AA372)),N372-AA372,"")</f>
        <v>-0.0496279906406127</v>
      </c>
    </row>
    <row r="373" customFormat="false" ht="15" hidden="false" customHeight="false" outlineLevel="0" collapsed="false">
      <c r="A373" s="0" t="s">
        <v>954</v>
      </c>
      <c r="B373" s="0" t="s">
        <v>955</v>
      </c>
      <c r="C373" s="0" t="s">
        <v>38</v>
      </c>
      <c r="D373" s="15" t="n">
        <v>15180</v>
      </c>
      <c r="E373" s="15" t="n">
        <v>14323</v>
      </c>
      <c r="F373" s="15" t="n">
        <v>17743</v>
      </c>
      <c r="G373" s="15" t="n">
        <v>15117</v>
      </c>
      <c r="H373" s="15" t="n">
        <v>14401</v>
      </c>
      <c r="I373" s="15" t="n">
        <v>1987</v>
      </c>
      <c r="J373" s="15" t="n">
        <v>1686</v>
      </c>
      <c r="K373" s="15" t="n">
        <v>2354</v>
      </c>
      <c r="L373" s="15" t="n">
        <v>1888</v>
      </c>
      <c r="M373" s="15" t="n">
        <v>1620</v>
      </c>
      <c r="N373" s="16" t="n">
        <v>0.0540934657315464</v>
      </c>
      <c r="O373" s="16" t="n">
        <v>0.226543209876543</v>
      </c>
      <c r="P373" s="16" t="n">
        <v>0.0598338336940585</v>
      </c>
      <c r="Q373" s="16" t="n">
        <v>-0.192752071239362</v>
      </c>
      <c r="R373" s="16" t="n">
        <v>0.173711715287425</v>
      </c>
      <c r="S373" s="16" t="n">
        <v>0.0497187695298937</v>
      </c>
      <c r="V373" s="17" t="s">
        <v>43</v>
      </c>
      <c r="W373" s="18" t="n">
        <v>140.44</v>
      </c>
      <c r="X373" s="18" t="n">
        <v>131.59</v>
      </c>
      <c r="Y373" s="16" t="n">
        <f aca="false">IF(AND(ISNUMBER(W373),ISNUMBER(X373)),X373/W373-1,"")</f>
        <v>-0.0630162346909712</v>
      </c>
      <c r="Z373" s="16" t="n">
        <v>-0.0515847516408061</v>
      </c>
      <c r="AA373" s="16" t="n">
        <v>0.0692753192753193</v>
      </c>
      <c r="AC373" s="16" t="n">
        <f aca="false">IF(AND(ISNUMBER(N373),ISNUMBER(AA373)),N373-AA373,"")</f>
        <v>-0.0151818535437729</v>
      </c>
    </row>
    <row r="374" customFormat="false" ht="15" hidden="false" customHeight="false" outlineLevel="0" collapsed="false">
      <c r="A374" s="0" t="s">
        <v>956</v>
      </c>
      <c r="B374" s="0" t="s">
        <v>957</v>
      </c>
      <c r="C374" s="0" t="s">
        <v>31</v>
      </c>
      <c r="D374" s="15" t="n">
        <v>1099.682</v>
      </c>
      <c r="E374" s="15" t="n">
        <v>1073.61</v>
      </c>
      <c r="F374" s="15" t="n">
        <v>1094.912</v>
      </c>
      <c r="G374" s="15" t="n">
        <v>1054.63</v>
      </c>
      <c r="H374" s="15" t="n">
        <v>1043.494</v>
      </c>
      <c r="I374" s="15" t="n">
        <v>83.897</v>
      </c>
      <c r="J374" s="15" t="n">
        <v>113.918</v>
      </c>
      <c r="K374" s="15" t="n">
        <v>151.339</v>
      </c>
      <c r="L374" s="15" t="n">
        <v>166.026</v>
      </c>
      <c r="M374" s="15" t="n">
        <v>155.838</v>
      </c>
      <c r="N374" s="16" t="n">
        <v>0.0538460211558476</v>
      </c>
      <c r="O374" s="16" t="n">
        <v>-0.461639651432898</v>
      </c>
      <c r="P374" s="16" t="n">
        <v>0.0242844235802573</v>
      </c>
      <c r="Q374" s="16" t="n">
        <v>-0.0194554448211363</v>
      </c>
      <c r="R374" s="16" t="n">
        <v>0.0381953860595659</v>
      </c>
      <c r="S374" s="16" t="n">
        <v>0.0106718390330947</v>
      </c>
      <c r="V374" s="17" t="s">
        <v>34</v>
      </c>
      <c r="W374" s="18" t="n">
        <v>76.23</v>
      </c>
      <c r="X374" s="18" t="n">
        <v>118.44</v>
      </c>
      <c r="Y374" s="16" t="n">
        <f aca="false">IF(AND(ISNUMBER(W374),ISNUMBER(X374)),X374/W374-1,"")</f>
        <v>0.553719008264463</v>
      </c>
      <c r="Z374" s="16" t="n">
        <v>0.553718971870325</v>
      </c>
      <c r="AA374" s="16" t="n">
        <v>0.0652463300598216</v>
      </c>
      <c r="AC374" s="16" t="n">
        <f aca="false">IF(AND(ISNUMBER(N374),ISNUMBER(AA374)),N374-AA374,"")</f>
        <v>-0.011400308903974</v>
      </c>
    </row>
    <row r="375" customFormat="false" ht="15" hidden="false" customHeight="false" outlineLevel="0" collapsed="false">
      <c r="A375" s="0" t="s">
        <v>958</v>
      </c>
      <c r="B375" s="0" t="s">
        <v>959</v>
      </c>
      <c r="C375" s="0" t="s">
        <v>31</v>
      </c>
      <c r="D375" s="15" t="n">
        <v>2960</v>
      </c>
      <c r="E375" s="15" t="n">
        <v>2701</v>
      </c>
      <c r="F375" s="15" t="n">
        <v>2974</v>
      </c>
      <c r="G375" s="15" t="n">
        <v>2835</v>
      </c>
      <c r="H375" s="15" t="n">
        <v>2810</v>
      </c>
      <c r="I375" s="15" t="n">
        <v>217</v>
      </c>
      <c r="J375" s="15" t="n">
        <v>66</v>
      </c>
      <c r="K375" s="15" t="n">
        <v>-244</v>
      </c>
      <c r="L375" s="15" t="n">
        <v>172</v>
      </c>
      <c r="M375" s="15" t="n">
        <v>191</v>
      </c>
      <c r="N375" s="16" t="n">
        <v>0.0533807829181494</v>
      </c>
      <c r="O375" s="16" t="n">
        <v>0.136125654450262</v>
      </c>
      <c r="P375" s="16" t="n">
        <v>0.0958904109589041</v>
      </c>
      <c r="Q375" s="16" t="n">
        <v>-0.0917955615332885</v>
      </c>
      <c r="R375" s="16" t="n">
        <v>0.0490299823633158</v>
      </c>
      <c r="S375" s="16" t="n">
        <v>0.00889679715302494</v>
      </c>
      <c r="V375" s="17" t="s">
        <v>147</v>
      </c>
      <c r="W375" s="18" t="n">
        <v>22.56</v>
      </c>
      <c r="X375" s="18" t="n">
        <v>23.49</v>
      </c>
      <c r="Y375" s="16" t="n">
        <f aca="false">IF(AND(ISNUMBER(W375),ISNUMBER(X375)),X375/W375-1,"")</f>
        <v>0.0412234042553192</v>
      </c>
      <c r="Z375" s="16" t="n">
        <v>0.0432302452888493</v>
      </c>
      <c r="AA375" s="16" t="n">
        <v>0.0430586488492948</v>
      </c>
      <c r="AC375" s="16" t="n">
        <f aca="false">IF(AND(ISNUMBER(N375),ISNUMBER(AA375)),N375-AA375,"")</f>
        <v>0.0103221340688546</v>
      </c>
    </row>
    <row r="376" customFormat="false" ht="15" hidden="false" customHeight="false" outlineLevel="0" collapsed="false">
      <c r="A376" s="0" t="s">
        <v>960</v>
      </c>
      <c r="B376" s="0" t="s">
        <v>961</v>
      </c>
      <c r="C376" s="0" t="s">
        <v>65</v>
      </c>
      <c r="D376" s="15" t="n">
        <v>6663</v>
      </c>
      <c r="E376" s="15" t="n">
        <v>6165</v>
      </c>
      <c r="F376" s="15" t="n">
        <v>6330</v>
      </c>
      <c r="G376" s="15" t="n">
        <v>8153</v>
      </c>
      <c r="H376" s="15" t="n">
        <v>6328</v>
      </c>
      <c r="I376" s="15" t="n">
        <v>852</v>
      </c>
      <c r="J376" s="15" t="n">
        <v>606</v>
      </c>
      <c r="K376" s="15" t="n">
        <v>735</v>
      </c>
      <c r="L376" s="15" t="n">
        <v>2272</v>
      </c>
      <c r="M376" s="15" t="n">
        <v>934</v>
      </c>
      <c r="N376" s="16" t="n">
        <v>0.0529393173198482</v>
      </c>
      <c r="O376" s="16" t="n">
        <v>-0.0877944325481799</v>
      </c>
      <c r="P376" s="16" t="n">
        <v>0.0807785888077859</v>
      </c>
      <c r="Q376" s="16" t="n">
        <v>-0.0260663507109005</v>
      </c>
      <c r="R376" s="16" t="n">
        <v>-0.223598675334233</v>
      </c>
      <c r="S376" s="16" t="n">
        <v>0.288400758533502</v>
      </c>
      <c r="V376" s="17" t="s">
        <v>43</v>
      </c>
      <c r="W376" s="18" t="n">
        <v>30.37</v>
      </c>
      <c r="X376" s="18" t="n">
        <v>21.8</v>
      </c>
      <c r="Y376" s="16" t="n">
        <f aca="false">IF(AND(ISNUMBER(W376),ISNUMBER(X376)),X376/W376-1,"")</f>
        <v>-0.282186368126441</v>
      </c>
      <c r="Z376" s="16" t="n">
        <v>-0.270651414608428</v>
      </c>
      <c r="AA376" s="16" t="n">
        <v>0.0946203079052068</v>
      </c>
      <c r="AC376" s="16" t="n">
        <f aca="false">IF(AND(ISNUMBER(N376),ISNUMBER(AA376)),N376-AA376,"")</f>
        <v>-0.0416809905853586</v>
      </c>
    </row>
    <row r="377" customFormat="false" ht="15" hidden="false" customHeight="false" outlineLevel="0" collapsed="false">
      <c r="A377" s="0" t="s">
        <v>962</v>
      </c>
      <c r="B377" s="0" t="s">
        <v>963</v>
      </c>
      <c r="C377" s="0" t="s">
        <v>38</v>
      </c>
      <c r="D377" s="15" t="n">
        <v>26539</v>
      </c>
      <c r="E377" s="15" t="n">
        <v>25443</v>
      </c>
      <c r="F377" s="15" t="n">
        <v>30453</v>
      </c>
      <c r="G377" s="15" t="n">
        <v>25270</v>
      </c>
      <c r="H377" s="15" t="n">
        <v>25211</v>
      </c>
      <c r="I377" s="15" t="n">
        <v>2560</v>
      </c>
      <c r="J377" s="15" t="n">
        <v>1135</v>
      </c>
      <c r="K377" s="15" t="n">
        <v>1380</v>
      </c>
      <c r="L377" s="15" t="n">
        <v>948</v>
      </c>
      <c r="M377" s="15" t="n">
        <v>1317</v>
      </c>
      <c r="N377" s="16" t="n">
        <v>0.0526754194597596</v>
      </c>
      <c r="O377" s="16" t="n">
        <v>0.943811693242217</v>
      </c>
      <c r="P377" s="16" t="n">
        <v>0.0430766812089769</v>
      </c>
      <c r="Q377" s="16" t="n">
        <v>-0.164515811250123</v>
      </c>
      <c r="R377" s="16" t="n">
        <v>0.205104867431737</v>
      </c>
      <c r="S377" s="16" t="n">
        <v>0.00234024830431157</v>
      </c>
      <c r="V377" s="17" t="s">
        <v>84</v>
      </c>
      <c r="W377" s="18" t="n">
        <v>88.31</v>
      </c>
      <c r="X377" s="18" t="n">
        <v>156.26</v>
      </c>
      <c r="Y377" s="16" t="n">
        <f aca="false">IF(AND(ISNUMBER(W377),ISNUMBER(X377)),X377/W377-1,"")</f>
        <v>0.769448533574906</v>
      </c>
      <c r="Z377" s="16" t="n">
        <v>0.841099871751505</v>
      </c>
      <c r="AA377" s="16" t="n">
        <v>-0.00946880402325945</v>
      </c>
      <c r="AC377" s="16" t="n">
        <f aca="false">IF(AND(ISNUMBER(N377),ISNUMBER(AA377)),N377-AA377,"")</f>
        <v>0.0621442234830191</v>
      </c>
    </row>
    <row r="378" customFormat="false" ht="15" hidden="false" customHeight="false" outlineLevel="0" collapsed="false">
      <c r="A378" s="0" t="s">
        <v>964</v>
      </c>
      <c r="B378" s="0" t="s">
        <v>965</v>
      </c>
      <c r="C378" s="0" t="s">
        <v>38</v>
      </c>
      <c r="D378" s="15" t="n">
        <v>11290.38</v>
      </c>
      <c r="E378" s="15" t="n">
        <v>10786.965</v>
      </c>
      <c r="F378" s="15" t="n">
        <v>10911.203</v>
      </c>
      <c r="G378" s="15" t="n">
        <v>10649.45</v>
      </c>
      <c r="H378" s="15" t="n">
        <v>10727.737</v>
      </c>
      <c r="I378" s="15" t="n">
        <v>769.164</v>
      </c>
      <c r="J378" s="15" t="n">
        <v>638.516</v>
      </c>
      <c r="K378" s="15" t="n">
        <v>606.276</v>
      </c>
      <c r="L378" s="15" t="n">
        <v>425.851</v>
      </c>
      <c r="M378" s="15" t="n">
        <v>595.428</v>
      </c>
      <c r="N378" s="16" t="n">
        <v>0.0524475012763643</v>
      </c>
      <c r="O378" s="16" t="n">
        <v>0.291783389427437</v>
      </c>
      <c r="P378" s="16" t="n">
        <v>0.0466688266810915</v>
      </c>
      <c r="Q378" s="16" t="n">
        <v>-0.0113862788548613</v>
      </c>
      <c r="R378" s="16" t="n">
        <v>0.0245790158177184</v>
      </c>
      <c r="S378" s="16" t="n">
        <v>-0.00729762483923679</v>
      </c>
      <c r="V378" s="17" t="s">
        <v>84</v>
      </c>
      <c r="W378" s="18" t="n">
        <v>104.5</v>
      </c>
      <c r="X378" s="18" t="n">
        <v>120.6</v>
      </c>
      <c r="Y378" s="16" t="n">
        <f aca="false">IF(AND(ISNUMBER(W378),ISNUMBER(X378)),X378/W378-1,"")</f>
        <v>0.154066985645933</v>
      </c>
      <c r="Z378" s="16" t="n">
        <v>0.177503785829997</v>
      </c>
      <c r="AA378" s="16" t="n">
        <v>0.0506716657716608</v>
      </c>
      <c r="AB378" s="17" t="s">
        <v>97</v>
      </c>
      <c r="AC378" s="16" t="n">
        <f aca="false">IF(AND(ISNUMBER(N378),ISNUMBER(AA378)),N378-AA378,"")</f>
        <v>0.0017758355047035</v>
      </c>
    </row>
    <row r="379" customFormat="false" ht="15" hidden="false" customHeight="false" outlineLevel="0" collapsed="false">
      <c r="A379" s="0" t="s">
        <v>966</v>
      </c>
      <c r="B379" s="0" t="s">
        <v>967</v>
      </c>
      <c r="C379" s="0" t="s">
        <v>31</v>
      </c>
      <c r="D379" s="15" t="n">
        <v>3554.084</v>
      </c>
      <c r="E379" s="15" t="n">
        <v>3415.548</v>
      </c>
      <c r="F379" s="15" t="n">
        <v>3619.787</v>
      </c>
      <c r="G379" s="15" t="n">
        <v>3420.227</v>
      </c>
      <c r="H379" s="15" t="n">
        <v>3379.526</v>
      </c>
      <c r="I379" s="15" t="n">
        <v>570.817</v>
      </c>
      <c r="J379" s="15" t="n">
        <v>473.548</v>
      </c>
      <c r="K379" s="15" t="n">
        <v>551.205</v>
      </c>
      <c r="L379" s="15" t="n">
        <v>495.605</v>
      </c>
      <c r="M379" s="15" t="n">
        <v>530.477</v>
      </c>
      <c r="N379" s="16" t="n">
        <v>0.0516516221505619</v>
      </c>
      <c r="O379" s="16" t="n">
        <v>0.0760447672566389</v>
      </c>
      <c r="P379" s="16" t="n">
        <v>0.0405604020204078</v>
      </c>
      <c r="Q379" s="16" t="n">
        <v>-0.0564229331725872</v>
      </c>
      <c r="R379" s="16" t="n">
        <v>0.0583470044532133</v>
      </c>
      <c r="S379" s="16" t="n">
        <v>0.0120434049035278</v>
      </c>
      <c r="V379" s="17" t="s">
        <v>147</v>
      </c>
      <c r="W379" s="18" t="n">
        <v>133.62</v>
      </c>
      <c r="X379" s="18" t="n">
        <v>183.14</v>
      </c>
      <c r="Y379" s="16" t="n">
        <f aca="false">IF(AND(ISNUMBER(W379),ISNUMBER(X379)),X379/W379-1,"")</f>
        <v>0.370603203113306</v>
      </c>
      <c r="Z379" s="16" t="n">
        <v>0.370603248630797</v>
      </c>
      <c r="AA379" s="16" t="n">
        <v>0.060502296717442</v>
      </c>
      <c r="AC379" s="16" t="n">
        <f aca="false">IF(AND(ISNUMBER(N379),ISNUMBER(AA379)),N379-AA379,"")</f>
        <v>-0.00885067456688016</v>
      </c>
    </row>
    <row r="380" customFormat="false" ht="15" hidden="false" customHeight="false" outlineLevel="0" collapsed="false">
      <c r="A380" s="0" t="s">
        <v>968</v>
      </c>
      <c r="B380" s="0" t="s">
        <v>969</v>
      </c>
      <c r="C380" s="0" t="s">
        <v>132</v>
      </c>
      <c r="D380" s="15" t="n">
        <v>5152</v>
      </c>
      <c r="E380" s="15" t="n">
        <v>5246</v>
      </c>
      <c r="F380" s="15" t="n">
        <v>5187</v>
      </c>
      <c r="G380" s="15" t="n">
        <v>4987</v>
      </c>
      <c r="H380" s="15" t="n">
        <v>4899</v>
      </c>
      <c r="N380" s="16" t="n">
        <v>0.051643192488263</v>
      </c>
      <c r="P380" s="16" t="n">
        <v>-0.0179184140297369</v>
      </c>
      <c r="Q380" s="16" t="n">
        <v>0.0113745903219586</v>
      </c>
      <c r="R380" s="16" t="n">
        <v>0.0401042711048727</v>
      </c>
      <c r="S380" s="16" t="n">
        <v>0.017962849561135</v>
      </c>
      <c r="V380" s="17" t="s">
        <v>51</v>
      </c>
      <c r="W380" s="18" t="n">
        <v>45.89</v>
      </c>
      <c r="X380" s="18" t="n">
        <v>47</v>
      </c>
      <c r="Y380" s="16" t="n">
        <f aca="false">IF(AND(ISNUMBER(W380),ISNUMBER(X380)),X380/W380-1,"")</f>
        <v>0.0241882763129222</v>
      </c>
      <c r="Z380" s="16" t="n">
        <v>0.06806218092331</v>
      </c>
      <c r="AA380" s="16" t="n">
        <v>-3.95964391691395</v>
      </c>
      <c r="AC380" s="16" t="n">
        <f aca="false">IF(AND(ISNUMBER(N380),ISNUMBER(AA380)),N380-AA380,"")</f>
        <v>4.01128710940221</v>
      </c>
    </row>
    <row r="381" customFormat="false" ht="15" hidden="false" customHeight="false" outlineLevel="0" collapsed="false">
      <c r="A381" s="0" t="s">
        <v>970</v>
      </c>
      <c r="B381" s="0" t="s">
        <v>971</v>
      </c>
      <c r="C381" s="0" t="s">
        <v>31</v>
      </c>
      <c r="D381" s="15" t="n">
        <v>84754.837</v>
      </c>
      <c r="E381" s="15" t="n">
        <v>78355.916</v>
      </c>
      <c r="F381" s="15" t="n">
        <v>85932.016</v>
      </c>
      <c r="G381" s="15" t="n">
        <v>83728.554</v>
      </c>
      <c r="H381" s="15" t="n">
        <v>80663.532</v>
      </c>
      <c r="I381" s="15" t="n">
        <v>1205.271</v>
      </c>
      <c r="J381" s="15" t="n">
        <v>1361.488</v>
      </c>
      <c r="K381" s="15" t="n">
        <v>1016.381</v>
      </c>
      <c r="L381" s="15" t="n">
        <v>945.941</v>
      </c>
      <c r="M381" s="15" t="n">
        <v>980.239</v>
      </c>
      <c r="N381" s="16" t="n">
        <v>0.0507206280032468</v>
      </c>
      <c r="O381" s="16" t="n">
        <v>0.229568503191569</v>
      </c>
      <c r="P381" s="16" t="n">
        <v>0.0816648100955133</v>
      </c>
      <c r="Q381" s="16" t="n">
        <v>-0.0881638806193026</v>
      </c>
      <c r="R381" s="16" t="n">
        <v>0.0263167329988763</v>
      </c>
      <c r="S381" s="16" t="n">
        <v>0.0379976170644252</v>
      </c>
      <c r="V381" s="17" t="s">
        <v>147</v>
      </c>
      <c r="W381" s="18" t="n">
        <v>308.36</v>
      </c>
      <c r="X381" s="18" t="n">
        <v>312.28</v>
      </c>
      <c r="Y381" s="16" t="n">
        <f aca="false">IF(AND(ISNUMBER(W381),ISNUMBER(X381)),X381/W381-1,"")</f>
        <v>0.0127124140614865</v>
      </c>
      <c r="Z381" s="16" t="n">
        <v>0.0204297539979117</v>
      </c>
      <c r="AA381" s="16" t="n">
        <v>0.0865040673490958</v>
      </c>
      <c r="AC381" s="16" t="n">
        <f aca="false">IF(AND(ISNUMBER(N381),ISNUMBER(AA381)),N381-AA381,"")</f>
        <v>-0.0357834393458489</v>
      </c>
    </row>
    <row r="382" customFormat="false" ht="15" hidden="false" customHeight="false" outlineLevel="0" collapsed="false">
      <c r="A382" s="0" t="s">
        <v>972</v>
      </c>
      <c r="B382" s="0" t="s">
        <v>973</v>
      </c>
      <c r="C382" s="0" t="s">
        <v>31</v>
      </c>
      <c r="D382" s="15" t="n">
        <v>16607</v>
      </c>
      <c r="E382" s="15" t="n">
        <v>16286</v>
      </c>
      <c r="F382" s="15" t="n">
        <v>16400</v>
      </c>
      <c r="G382" s="15" t="n">
        <v>17276</v>
      </c>
      <c r="H382" s="15" t="n">
        <v>15806</v>
      </c>
      <c r="I382" s="15" t="n">
        <v>-433</v>
      </c>
      <c r="J382" s="15" t="n">
        <v>-3201</v>
      </c>
      <c r="K382" s="15" t="n">
        <v>4065</v>
      </c>
      <c r="L382" s="15" t="n">
        <v>6554</v>
      </c>
      <c r="M382" s="15" t="n">
        <v>5552</v>
      </c>
      <c r="N382" s="16" t="n">
        <v>0.0506769581171707</v>
      </c>
      <c r="O382" s="20" t="s">
        <v>153</v>
      </c>
      <c r="P382" s="16" t="n">
        <v>0.0197101805231488</v>
      </c>
      <c r="Q382" s="16" t="n">
        <v>-0.00695121951219513</v>
      </c>
      <c r="R382" s="16" t="n">
        <v>-0.050706181986571</v>
      </c>
      <c r="S382" s="16" t="n">
        <v>0.0930026572187777</v>
      </c>
      <c r="V382" s="17" t="s">
        <v>147</v>
      </c>
      <c r="W382" s="18" t="n">
        <v>79.67</v>
      </c>
      <c r="X382" s="18" t="n">
        <v>148.08</v>
      </c>
      <c r="Y382" s="16" t="n">
        <f aca="false">IF(AND(ISNUMBER(W382),ISNUMBER(X382)),X382/W382-1,"")</f>
        <v>0.858667001380695</v>
      </c>
      <c r="Z382" s="16" t="n">
        <v>0.913244852936828</v>
      </c>
      <c r="AA382" s="16" t="n">
        <v>-0.0189920556107249</v>
      </c>
      <c r="AC382" s="16" t="n">
        <f aca="false">IF(AND(ISNUMBER(N382),ISNUMBER(AA382)),N382-AA382,"")</f>
        <v>0.0696690137278956</v>
      </c>
    </row>
    <row r="383" customFormat="false" ht="15" hidden="false" customHeight="false" outlineLevel="0" collapsed="false">
      <c r="A383" s="0" t="s">
        <v>974</v>
      </c>
      <c r="B383" s="0" t="s">
        <v>975</v>
      </c>
      <c r="C383" s="0" t="s">
        <v>38</v>
      </c>
      <c r="D383" s="15" t="n">
        <v>2219.3</v>
      </c>
      <c r="E383" s="15" t="n">
        <v>2268.1</v>
      </c>
      <c r="F383" s="15" t="n">
        <v>2339.4</v>
      </c>
      <c r="G383" s="15" t="n">
        <v>2330.1</v>
      </c>
      <c r="H383" s="15" t="n">
        <v>2113.3</v>
      </c>
      <c r="I383" s="15" t="n">
        <v>512.2</v>
      </c>
      <c r="J383" s="15" t="n">
        <v>449</v>
      </c>
      <c r="K383" s="15" t="n">
        <v>418.3</v>
      </c>
      <c r="L383" s="15" t="n">
        <v>424.1</v>
      </c>
      <c r="M383" s="15" t="n">
        <v>51.6</v>
      </c>
      <c r="N383" s="16" t="n">
        <v>0.0501585198504708</v>
      </c>
      <c r="O383" s="16" t="n">
        <v>8.92635658914729</v>
      </c>
      <c r="P383" s="16" t="n">
        <v>-0.0215158061813853</v>
      </c>
      <c r="Q383" s="16" t="n">
        <v>-0.0304779003163205</v>
      </c>
      <c r="R383" s="16" t="n">
        <v>0.00399124501094383</v>
      </c>
      <c r="S383" s="16" t="n">
        <v>0.102588368901718</v>
      </c>
      <c r="V383" s="17" t="s">
        <v>84</v>
      </c>
      <c r="W383" s="18" t="n">
        <v>110.32</v>
      </c>
      <c r="X383" s="18" t="n">
        <v>122.41</v>
      </c>
      <c r="Y383" s="16" t="n">
        <f aca="false">IF(AND(ISNUMBER(W383),ISNUMBER(X383)),X383/W383-1,"")</f>
        <v>0.109590282813633</v>
      </c>
      <c r="Z383" s="16" t="n">
        <v>0.155275506640601</v>
      </c>
      <c r="AA383" s="16" t="n">
        <v>-0.0055526798738883</v>
      </c>
      <c r="AC383" s="16" t="n">
        <f aca="false">IF(AND(ISNUMBER(N383),ISNUMBER(AA383)),N383-AA383,"")</f>
        <v>0.0557111997243591</v>
      </c>
    </row>
    <row r="384" customFormat="false" ht="15" hidden="false" customHeight="false" outlineLevel="0" collapsed="false">
      <c r="A384" s="0" t="s">
        <v>976</v>
      </c>
      <c r="B384" s="0" t="s">
        <v>977</v>
      </c>
      <c r="C384" s="0" t="s">
        <v>31</v>
      </c>
      <c r="D384" s="15" t="n">
        <v>8972</v>
      </c>
      <c r="E384" s="15" t="n">
        <v>8721</v>
      </c>
      <c r="F384" s="15" t="n">
        <v>9745</v>
      </c>
      <c r="G384" s="15" t="n">
        <v>8928</v>
      </c>
      <c r="H384" s="15" t="n">
        <v>8546</v>
      </c>
      <c r="I384" s="15" t="n">
        <v>1140</v>
      </c>
      <c r="J384" s="15" t="n">
        <v>1070</v>
      </c>
      <c r="K384" s="15" t="n">
        <v>1458</v>
      </c>
      <c r="L384" s="15" t="n">
        <v>1316</v>
      </c>
      <c r="M384" s="15" t="n">
        <v>1345</v>
      </c>
      <c r="N384" s="16" t="n">
        <v>0.0498478820500818</v>
      </c>
      <c r="O384" s="16" t="n">
        <v>-0.152416356877324</v>
      </c>
      <c r="P384" s="16" t="n">
        <v>0.0287811030845087</v>
      </c>
      <c r="Q384" s="16" t="n">
        <v>-0.105079527963058</v>
      </c>
      <c r="R384" s="16" t="n">
        <v>0.0915098566308243</v>
      </c>
      <c r="S384" s="16" t="n">
        <v>0.0446992745143926</v>
      </c>
      <c r="V384" s="17" t="s">
        <v>80</v>
      </c>
      <c r="W384" s="18" t="n">
        <v>34.61</v>
      </c>
      <c r="X384" s="18" t="n">
        <v>51.87</v>
      </c>
      <c r="Y384" s="16" t="n">
        <f aca="false">IF(AND(ISNUMBER(W384),ISNUMBER(X384)),X384/W384-1,"")</f>
        <v>0.498699797746316</v>
      </c>
      <c r="Z384" s="16" t="n">
        <v>0.535339177014303</v>
      </c>
      <c r="AA384" s="16" t="n">
        <v>-0.0648867490972754</v>
      </c>
      <c r="AC384" s="16" t="n">
        <f aca="false">IF(AND(ISNUMBER(N384),ISNUMBER(AA384)),N384-AA384,"")</f>
        <v>0.114734631147357</v>
      </c>
    </row>
    <row r="385" customFormat="false" ht="15" hidden="false" customHeight="false" outlineLevel="0" collapsed="false">
      <c r="A385" s="0" t="s">
        <v>978</v>
      </c>
      <c r="B385" s="0" t="s">
        <v>979</v>
      </c>
      <c r="C385" s="0" t="s">
        <v>31</v>
      </c>
      <c r="D385" s="15" t="n">
        <v>5361</v>
      </c>
      <c r="E385" s="15" t="n">
        <v>5324</v>
      </c>
      <c r="F385" s="15" t="n">
        <v>5230</v>
      </c>
      <c r="G385" s="15" t="n">
        <v>5131</v>
      </c>
      <c r="H385" s="15" t="n">
        <v>5110</v>
      </c>
      <c r="I385" s="15" t="n">
        <v>1016</v>
      </c>
      <c r="J385" s="15" t="n">
        <v>964</v>
      </c>
      <c r="K385" s="15" t="n">
        <v>1019</v>
      </c>
      <c r="L385" s="15" t="n">
        <v>1059</v>
      </c>
      <c r="M385" s="15" t="n">
        <v>1080</v>
      </c>
      <c r="N385" s="16" t="n">
        <v>0.049119373776908</v>
      </c>
      <c r="O385" s="16" t="n">
        <v>-0.0592592592592592</v>
      </c>
      <c r="P385" s="16" t="n">
        <v>0.00694966190833957</v>
      </c>
      <c r="Q385" s="16" t="n">
        <v>0.0179732313575527</v>
      </c>
      <c r="R385" s="16" t="n">
        <v>0.0192944845059442</v>
      </c>
      <c r="S385" s="16" t="n">
        <v>0.00410958904109582</v>
      </c>
      <c r="V385" s="17" t="s">
        <v>84</v>
      </c>
      <c r="W385" s="18" t="n">
        <v>81.13</v>
      </c>
      <c r="X385" s="18" t="n">
        <v>85.93</v>
      </c>
      <c r="Y385" s="16" t="n">
        <f aca="false">IF(AND(ISNUMBER(W385),ISNUMBER(X385)),X385/W385-1,"")</f>
        <v>0.0591643042031309</v>
      </c>
      <c r="Z385" s="16" t="n">
        <v>0.0856503896787895</v>
      </c>
      <c r="AA385" s="16" t="n">
        <v>0.0102807433768288</v>
      </c>
      <c r="AC385" s="16" t="n">
        <f aca="false">IF(AND(ISNUMBER(N385),ISNUMBER(AA385)),N385-AA385,"")</f>
        <v>0.0388386304000792</v>
      </c>
    </row>
    <row r="386" customFormat="false" ht="15" hidden="false" customHeight="false" outlineLevel="0" collapsed="false">
      <c r="A386" s="0" t="s">
        <v>980</v>
      </c>
      <c r="B386" s="0" t="s">
        <v>981</v>
      </c>
      <c r="C386" s="0" t="s">
        <v>31</v>
      </c>
      <c r="D386" s="15" t="n">
        <v>3756.8</v>
      </c>
      <c r="E386" s="15" t="n">
        <v>3517</v>
      </c>
      <c r="F386" s="15" t="n">
        <v>3703.6</v>
      </c>
      <c r="G386" s="15" t="n">
        <v>3759.9</v>
      </c>
      <c r="H386" s="15" t="n">
        <v>3582.1</v>
      </c>
      <c r="I386" s="15" t="n">
        <v>73.7</v>
      </c>
      <c r="J386" s="15" t="n">
        <v>-20.2</v>
      </c>
      <c r="K386" s="15" t="n">
        <v>-157.5</v>
      </c>
      <c r="L386" s="15" t="n">
        <v>234.5</v>
      </c>
      <c r="M386" s="15" t="n">
        <v>185.4</v>
      </c>
      <c r="N386" s="16" t="n">
        <v>0.0487702744200329</v>
      </c>
      <c r="O386" s="16" t="n">
        <v>-0.602481121898598</v>
      </c>
      <c r="P386" s="16" t="n">
        <v>0.0681831106056299</v>
      </c>
      <c r="Q386" s="16" t="n">
        <v>-0.0503834107355006</v>
      </c>
      <c r="R386" s="16" t="n">
        <v>-0.0149738024947472</v>
      </c>
      <c r="S386" s="16" t="n">
        <v>0.0496356885625751</v>
      </c>
      <c r="V386" s="17" t="s">
        <v>147</v>
      </c>
      <c r="W386" s="18" t="n">
        <v>9.71</v>
      </c>
      <c r="X386" s="18" t="n">
        <v>17.12</v>
      </c>
      <c r="Y386" s="16" t="n">
        <f aca="false">IF(AND(ISNUMBER(W386),ISNUMBER(X386)),X386/W386-1,"")</f>
        <v>0.76313079299691</v>
      </c>
      <c r="Z386" s="16" t="n">
        <v>0.825638310573732</v>
      </c>
      <c r="AA386" s="16" t="n">
        <v>-0.056497919190855</v>
      </c>
      <c r="AB386" s="19" t="s">
        <v>35</v>
      </c>
      <c r="AC386" s="16" t="n">
        <f aca="false">IF(AND(ISNUMBER(N386),ISNUMBER(AA386)),N386-AA386,"")</f>
        <v>0.105268193610888</v>
      </c>
    </row>
    <row r="387" customFormat="false" ht="15" hidden="false" customHeight="false" outlineLevel="0" collapsed="false">
      <c r="A387" s="0" t="s">
        <v>982</v>
      </c>
      <c r="B387" s="0" t="s">
        <v>983</v>
      </c>
      <c r="C387" s="0" t="s">
        <v>31</v>
      </c>
      <c r="D387" s="15" t="n">
        <v>7071</v>
      </c>
      <c r="E387" s="15" t="n">
        <v>6654</v>
      </c>
      <c r="F387" s="15" t="n">
        <v>6690</v>
      </c>
      <c r="G387" s="15" t="n">
        <v>6489</v>
      </c>
      <c r="H387" s="15" t="n">
        <v>6744</v>
      </c>
      <c r="I387" s="15" t="n">
        <v>1219</v>
      </c>
      <c r="J387" s="15" t="n">
        <v>1068</v>
      </c>
      <c r="K387" s="15" t="n">
        <v>806</v>
      </c>
      <c r="L387" s="15" t="n">
        <v>1140</v>
      </c>
      <c r="M387" s="15" t="n">
        <v>1244</v>
      </c>
      <c r="N387" s="16" t="n">
        <v>0.0484875444839858</v>
      </c>
      <c r="O387" s="16" t="n">
        <v>-0.020096463022508</v>
      </c>
      <c r="P387" s="16" t="n">
        <v>0.0626690712353473</v>
      </c>
      <c r="Q387" s="16" t="n">
        <v>-0.00538116591928251</v>
      </c>
      <c r="R387" s="16" t="n">
        <v>0.0309754969949145</v>
      </c>
      <c r="S387" s="16" t="n">
        <v>-0.0378113879003559</v>
      </c>
      <c r="V387" s="17" t="s">
        <v>43</v>
      </c>
      <c r="W387" s="18" t="n">
        <v>262.14</v>
      </c>
      <c r="X387" s="18" t="n">
        <v>351.66</v>
      </c>
      <c r="Y387" s="16" t="n">
        <f aca="false">IF(AND(ISNUMBER(W387),ISNUMBER(X387)),X387/W387-1,"")</f>
        <v>0.341496910048066</v>
      </c>
      <c r="Z387" s="16" t="n">
        <v>0.352667714223935</v>
      </c>
      <c r="AA387" s="16" t="n">
        <v>0.0473676036651654</v>
      </c>
      <c r="AC387" s="16" t="n">
        <f aca="false">IF(AND(ISNUMBER(N387),ISNUMBER(AA387)),N387-AA387,"")</f>
        <v>0.00111994081882049</v>
      </c>
    </row>
    <row r="388" customFormat="false" ht="15" hidden="false" customHeight="false" outlineLevel="0" collapsed="false">
      <c r="A388" s="0" t="s">
        <v>984</v>
      </c>
      <c r="B388" s="0" t="s">
        <v>985</v>
      </c>
      <c r="C388" s="0" t="s">
        <v>38</v>
      </c>
      <c r="D388" s="15" t="n">
        <v>12352</v>
      </c>
      <c r="E388" s="15" t="n">
        <v>13092</v>
      </c>
      <c r="F388" s="15" t="n">
        <v>9344</v>
      </c>
      <c r="G388" s="15" t="n">
        <v>12094</v>
      </c>
      <c r="H388" s="15" t="n">
        <v>11783</v>
      </c>
      <c r="I388" s="15" t="n">
        <v>2336</v>
      </c>
      <c r="J388" s="15" t="n">
        <v>2728</v>
      </c>
      <c r="K388" s="15" t="n">
        <v>1288</v>
      </c>
      <c r="L388" s="15" t="n">
        <v>1895</v>
      </c>
      <c r="M388" s="15" t="n">
        <v>2159</v>
      </c>
      <c r="N388" s="16" t="n">
        <v>0.0482899091912077</v>
      </c>
      <c r="O388" s="16" t="n">
        <v>0.0819823992589162</v>
      </c>
      <c r="P388" s="16" t="n">
        <v>-0.056523067522151</v>
      </c>
      <c r="Q388" s="16" t="n">
        <v>0.40111301369863</v>
      </c>
      <c r="R388" s="16" t="n">
        <v>-0.227385480403506</v>
      </c>
      <c r="S388" s="16" t="n">
        <v>0.0263939573962488</v>
      </c>
      <c r="V388" s="17" t="s">
        <v>47</v>
      </c>
      <c r="W388" s="18" t="n">
        <v>468.94</v>
      </c>
      <c r="X388" s="18" t="n">
        <v>709.48</v>
      </c>
      <c r="Y388" s="16" t="n">
        <f aca="false">IF(AND(ISNUMBER(W388),ISNUMBER(X388)),X388/W388-1,"")</f>
        <v>0.512944086663539</v>
      </c>
      <c r="Z388" s="16" t="n">
        <v>0.531895759417886</v>
      </c>
      <c r="AA388" s="16" t="n">
        <v>-0.0862226277372263</v>
      </c>
      <c r="AC388" s="16" t="n">
        <f aca="false">IF(AND(ISNUMBER(N388),ISNUMBER(AA388)),N388-AA388,"")</f>
        <v>0.134512536928434</v>
      </c>
    </row>
    <row r="389" customFormat="false" ht="15" hidden="false" customHeight="false" outlineLevel="0" collapsed="false">
      <c r="A389" s="0" t="s">
        <v>986</v>
      </c>
      <c r="B389" s="0" t="s">
        <v>987</v>
      </c>
      <c r="C389" s="0" t="s">
        <v>132</v>
      </c>
      <c r="D389" s="15" t="n">
        <v>1091</v>
      </c>
      <c r="E389" s="15" t="n">
        <v>1159</v>
      </c>
      <c r="F389" s="15" t="n">
        <v>1084</v>
      </c>
      <c r="G389" s="15" t="n">
        <v>1059</v>
      </c>
      <c r="H389" s="15" t="n">
        <v>1041</v>
      </c>
      <c r="I389" s="15" t="n">
        <v>209</v>
      </c>
      <c r="J389" s="15" t="n">
        <v>211</v>
      </c>
      <c r="K389" s="15" t="n">
        <v>227</v>
      </c>
      <c r="L389" s="15" t="n">
        <v>214</v>
      </c>
      <c r="M389" s="15" t="n">
        <v>164</v>
      </c>
      <c r="N389" s="16" t="n">
        <v>0.048030739673391</v>
      </c>
      <c r="O389" s="16" t="n">
        <v>0.274390243902439</v>
      </c>
      <c r="P389" s="16" t="n">
        <v>-0.0586712683347713</v>
      </c>
      <c r="Q389" s="16" t="n">
        <v>0.0691881918819188</v>
      </c>
      <c r="R389" s="16" t="n">
        <v>0.0236071765816808</v>
      </c>
      <c r="S389" s="16" t="n">
        <v>0.0172910662824208</v>
      </c>
      <c r="V389" s="17" t="s">
        <v>147</v>
      </c>
      <c r="W389" s="18" t="n">
        <v>94.41</v>
      </c>
      <c r="X389" s="18" t="n">
        <v>255.38</v>
      </c>
      <c r="Y389" s="16" t="n">
        <f aca="false">IF(AND(ISNUMBER(W389),ISNUMBER(X389)),X389/W389-1,"")</f>
        <v>1.70501006249338</v>
      </c>
      <c r="Z389" s="16" t="n">
        <v>1.70501000928683</v>
      </c>
      <c r="AA389" s="16" t="n">
        <v>-0.0476618705035972</v>
      </c>
      <c r="AC389" s="16" t="n">
        <f aca="false">IF(AND(ISNUMBER(N389),ISNUMBER(AA389)),N389-AA389,"")</f>
        <v>0.0956926101769882</v>
      </c>
    </row>
    <row r="390" customFormat="false" ht="15" hidden="false" customHeight="false" outlineLevel="0" collapsed="false">
      <c r="A390" s="0" t="s">
        <v>988</v>
      </c>
      <c r="B390" s="0" t="s">
        <v>989</v>
      </c>
      <c r="C390" s="0" t="s">
        <v>31</v>
      </c>
      <c r="D390" s="15" t="n">
        <v>879.059</v>
      </c>
      <c r="E390" s="15" t="n">
        <v>1962.402</v>
      </c>
      <c r="F390" s="15" t="n">
        <v>1342.585</v>
      </c>
      <c r="G390" s="15" t="n">
        <v>737.48</v>
      </c>
      <c r="H390" s="15" t="n">
        <v>838.774</v>
      </c>
      <c r="I390" s="15" t="n">
        <v>320.414</v>
      </c>
      <c r="J390" s="15" t="n">
        <v>764.804</v>
      </c>
      <c r="K390" s="15" t="n">
        <v>514.764</v>
      </c>
      <c r="L390" s="15" t="n">
        <v>219.485</v>
      </c>
      <c r="M390" s="15" t="n">
        <v>252.067</v>
      </c>
      <c r="N390" s="16" t="n">
        <v>0.0480284319733324</v>
      </c>
      <c r="O390" s="16" t="n">
        <v>0.271146163520017</v>
      </c>
      <c r="P390" s="16" t="n">
        <v>-0.552049478139545</v>
      </c>
      <c r="Q390" s="16" t="n">
        <v>0.461659410763564</v>
      </c>
      <c r="R390" s="16" t="n">
        <v>0.820503606877475</v>
      </c>
      <c r="S390" s="16" t="n">
        <v>-0.120764353687644</v>
      </c>
      <c r="V390" s="17" t="s">
        <v>134</v>
      </c>
      <c r="W390" s="18" t="n">
        <v>166.77</v>
      </c>
      <c r="X390" s="18" t="n">
        <v>156.24</v>
      </c>
      <c r="Y390" s="16" t="n">
        <f aca="false">IF(AND(ISNUMBER(W390),ISNUMBER(X390)),X390/W390-1,"")</f>
        <v>-0.0631408526713437</v>
      </c>
      <c r="Z390" s="16" t="n">
        <v>-0.0414221973075909</v>
      </c>
      <c r="AA390" s="16" t="n">
        <v>0.195602873070876</v>
      </c>
      <c r="AC390" s="16" t="n">
        <f aca="false">IF(AND(ISNUMBER(N390),ISNUMBER(AA390)),N390-AA390,"")</f>
        <v>-0.147574441097544</v>
      </c>
    </row>
    <row r="391" customFormat="false" ht="15" hidden="false" customHeight="false" outlineLevel="0" collapsed="false">
      <c r="A391" s="0" t="s">
        <v>990</v>
      </c>
      <c r="B391" s="0" t="s">
        <v>991</v>
      </c>
      <c r="C391" s="0" t="s">
        <v>31</v>
      </c>
      <c r="D391" s="15" t="n">
        <v>2177</v>
      </c>
      <c r="E391" s="15" t="n">
        <v>2086.7</v>
      </c>
      <c r="F391" s="15" t="n">
        <v>2243.7</v>
      </c>
      <c r="G391" s="15" t="n">
        <v>2001.4</v>
      </c>
      <c r="H391" s="15" t="n">
        <v>2077.3</v>
      </c>
      <c r="I391" s="15" t="n">
        <v>374</v>
      </c>
      <c r="J391" s="15" t="n">
        <v>395.1</v>
      </c>
      <c r="K391" s="15" t="n">
        <v>282.6</v>
      </c>
      <c r="L391" s="15" t="n">
        <v>338.3</v>
      </c>
      <c r="M391" s="15" t="n">
        <v>396.4</v>
      </c>
      <c r="N391" s="16" t="n">
        <v>0.0479949935011794</v>
      </c>
      <c r="O391" s="16" t="n">
        <v>-0.0565085771947528</v>
      </c>
      <c r="P391" s="16" t="n">
        <v>0.0432740691043274</v>
      </c>
      <c r="Q391" s="16" t="n">
        <v>-0.0699737041493961</v>
      </c>
      <c r="R391" s="16" t="n">
        <v>0.121065254321975</v>
      </c>
      <c r="S391" s="16" t="n">
        <v>-0.036537813507919</v>
      </c>
      <c r="V391" s="17" t="s">
        <v>147</v>
      </c>
      <c r="W391" s="18" t="n">
        <v>98.98</v>
      </c>
      <c r="X391" s="18" t="n">
        <v>90.88</v>
      </c>
      <c r="Y391" s="16" t="n">
        <f aca="false">IF(AND(ISNUMBER(W391),ISNUMBER(X391)),X391/W391-1,"")</f>
        <v>-0.0818347140836534</v>
      </c>
      <c r="Z391" s="16" t="n">
        <v>-0.0721756355870484</v>
      </c>
      <c r="AA391" s="16" t="n">
        <v>0.0696704428424304</v>
      </c>
      <c r="AC391" s="16" t="n">
        <f aca="false">IF(AND(ISNUMBER(N391),ISNUMBER(AA391)),N391-AA391,"")</f>
        <v>-0.021675449341251</v>
      </c>
    </row>
    <row r="392" customFormat="false" ht="15" hidden="false" customHeight="false" outlineLevel="0" collapsed="false">
      <c r="A392" s="0" t="s">
        <v>992</v>
      </c>
      <c r="B392" s="0" t="s">
        <v>993</v>
      </c>
      <c r="C392" s="0" t="s">
        <v>31</v>
      </c>
      <c r="D392" s="15" t="n">
        <v>8682</v>
      </c>
      <c r="E392" s="15" t="n">
        <v>8353</v>
      </c>
      <c r="F392" s="15" t="n">
        <v>8676</v>
      </c>
      <c r="G392" s="15" t="n">
        <v>8417</v>
      </c>
      <c r="H392" s="15" t="n">
        <v>8288</v>
      </c>
      <c r="I392" s="15" t="n">
        <v>1540</v>
      </c>
      <c r="J392" s="15" t="n">
        <v>1562</v>
      </c>
      <c r="K392" s="15" t="n">
        <v>1591</v>
      </c>
      <c r="L392" s="15" t="n">
        <v>1589</v>
      </c>
      <c r="M392" s="15" t="n">
        <v>1620</v>
      </c>
      <c r="N392" s="16" t="n">
        <v>0.0475386100386099</v>
      </c>
      <c r="O392" s="16" t="n">
        <v>-0.0493827160493827</v>
      </c>
      <c r="P392" s="16" t="n">
        <v>0.0393870465700945</v>
      </c>
      <c r="Q392" s="16" t="n">
        <v>-0.0372291378515445</v>
      </c>
      <c r="R392" s="16" t="n">
        <v>0.0307710585719379</v>
      </c>
      <c r="S392" s="16" t="n">
        <v>0.0155646718146718</v>
      </c>
      <c r="V392" s="17" t="s">
        <v>51</v>
      </c>
      <c r="W392" s="18" t="n">
        <v>67.86</v>
      </c>
      <c r="X392" s="18" t="n">
        <v>52.51</v>
      </c>
      <c r="Y392" s="16" t="n">
        <f aca="false">IF(AND(ISNUMBER(W392),ISNUMBER(X392)),X392/W392-1,"")</f>
        <v>-0.226201002063071</v>
      </c>
      <c r="Z392" s="16" t="n">
        <v>-0.217571715586596</v>
      </c>
      <c r="AA392" s="16" t="n">
        <v>0.0511097019657578</v>
      </c>
      <c r="AC392" s="16" t="n">
        <f aca="false">IF(AND(ISNUMBER(N392),ISNUMBER(AA392)),N392-AA392,"")</f>
        <v>-0.00357109192714788</v>
      </c>
    </row>
    <row r="393" customFormat="false" ht="15" hidden="false" customHeight="false" outlineLevel="0" collapsed="false">
      <c r="A393" s="0" t="s">
        <v>994</v>
      </c>
      <c r="B393" s="0" t="s">
        <v>995</v>
      </c>
      <c r="C393" s="0" t="s">
        <v>31</v>
      </c>
      <c r="D393" s="15" t="n">
        <v>22124</v>
      </c>
      <c r="E393" s="15" t="n">
        <v>20519</v>
      </c>
      <c r="F393" s="15" t="n">
        <v>20762</v>
      </c>
      <c r="G393" s="15" t="n">
        <v>21148</v>
      </c>
      <c r="H393" s="15" t="n">
        <v>21138</v>
      </c>
      <c r="I393" s="15" t="n">
        <v>983</v>
      </c>
      <c r="J393" s="15" t="n">
        <v>619</v>
      </c>
      <c r="K393" s="15" t="n">
        <v>692</v>
      </c>
      <c r="L393" s="15" t="n">
        <v>800</v>
      </c>
      <c r="M393" s="15" t="n">
        <v>888</v>
      </c>
      <c r="N393" s="16" t="n">
        <v>0.0466458510738954</v>
      </c>
      <c r="O393" s="16" t="n">
        <v>0.106981981981982</v>
      </c>
      <c r="P393" s="16" t="n">
        <v>0.0782201861689167</v>
      </c>
      <c r="Q393" s="16" t="n">
        <v>-0.0117040747519507</v>
      </c>
      <c r="R393" s="16" t="n">
        <v>-0.018252317003972</v>
      </c>
      <c r="S393" s="16" t="n">
        <v>0.00047308165389337</v>
      </c>
      <c r="V393" s="17" t="s">
        <v>84</v>
      </c>
      <c r="W393" s="18" t="n">
        <v>81.82</v>
      </c>
      <c r="X393" s="18" t="n">
        <v>77.14</v>
      </c>
      <c r="Y393" s="16" t="n">
        <f aca="false">IF(AND(ISNUMBER(W393),ISNUMBER(X393)),X393/W393-1,"")</f>
        <v>-0.0571987289171351</v>
      </c>
      <c r="Z393" s="16" t="n">
        <v>-0.0304488845298639</v>
      </c>
      <c r="AA393" s="16" t="n">
        <v>0.0283129013426737</v>
      </c>
      <c r="AC393" s="16" t="n">
        <f aca="false">IF(AND(ISNUMBER(N393),ISNUMBER(AA393)),N393-AA393,"")</f>
        <v>0.0183329497312217</v>
      </c>
    </row>
    <row r="394" customFormat="false" ht="15" hidden="false" customHeight="false" outlineLevel="0" collapsed="false">
      <c r="A394" s="0" t="s">
        <v>996</v>
      </c>
      <c r="B394" s="0" t="s">
        <v>997</v>
      </c>
      <c r="C394" s="0" t="s">
        <v>31</v>
      </c>
      <c r="D394" s="15" t="n">
        <v>644.023</v>
      </c>
      <c r="E394" s="15" t="n">
        <v>636.245</v>
      </c>
      <c r="F394" s="15" t="n">
        <v>619.334</v>
      </c>
      <c r="G394" s="15" t="n">
        <v>644.738</v>
      </c>
      <c r="H394" s="15" t="n">
        <v>615.372</v>
      </c>
      <c r="I394" s="15" t="n">
        <v>136.773</v>
      </c>
      <c r="J394" s="15" t="n">
        <v>155.047</v>
      </c>
      <c r="K394" s="15" t="n">
        <v>159.148</v>
      </c>
      <c r="L394" s="15" t="n">
        <v>184.065</v>
      </c>
      <c r="M394" s="15" t="n">
        <v>155.698</v>
      </c>
      <c r="N394" s="16" t="n">
        <v>0.0465588294560038</v>
      </c>
      <c r="O394" s="16" t="n">
        <v>-0.121549409754782</v>
      </c>
      <c r="P394" s="16" t="n">
        <v>0.0122248504899842</v>
      </c>
      <c r="Q394" s="16" t="n">
        <v>0.027305137454104</v>
      </c>
      <c r="R394" s="16" t="n">
        <v>-0.0394020516861112</v>
      </c>
      <c r="S394" s="16" t="n">
        <v>0.0477207282749297</v>
      </c>
      <c r="V394" s="17" t="s">
        <v>51</v>
      </c>
      <c r="W394" s="18" t="n">
        <v>151.5</v>
      </c>
      <c r="X394" s="18" t="n">
        <v>148.33</v>
      </c>
      <c r="Y394" s="16" t="n">
        <f aca="false">IF(AND(ISNUMBER(W394),ISNUMBER(X394)),X394/W394-1,"")</f>
        <v>-0.0209240924092409</v>
      </c>
      <c r="Z394" s="16" t="n">
        <v>-0.00604992329340615</v>
      </c>
      <c r="AA394" s="16" t="n">
        <v>0.0990512794867764</v>
      </c>
      <c r="AC394" s="16" t="n">
        <f aca="false">IF(AND(ISNUMBER(N394),ISNUMBER(AA394)),N394-AA394,"")</f>
        <v>-0.0524924500307726</v>
      </c>
    </row>
    <row r="395" customFormat="false" ht="15" hidden="false" customHeight="false" outlineLevel="0" collapsed="false">
      <c r="A395" s="0" t="s">
        <v>998</v>
      </c>
      <c r="B395" s="0" t="s">
        <v>999</v>
      </c>
      <c r="C395" s="0" t="s">
        <v>31</v>
      </c>
      <c r="D395" s="15" t="n">
        <v>2749.1</v>
      </c>
      <c r="E395" s="15" t="n">
        <v>2737.5</v>
      </c>
      <c r="F395" s="15" t="n">
        <v>2737.5</v>
      </c>
      <c r="G395" s="15" t="n">
        <v>2717.4</v>
      </c>
      <c r="H395" s="15" t="n">
        <v>2626.9</v>
      </c>
      <c r="I395" s="15" t="n">
        <v>1268.8</v>
      </c>
      <c r="J395" s="15" t="n">
        <v>1239.2</v>
      </c>
      <c r="K395" s="15" t="n">
        <v>1244.1</v>
      </c>
      <c r="L395" s="15" t="n">
        <v>1233.3</v>
      </c>
      <c r="M395" s="15" t="n">
        <v>1197.7</v>
      </c>
      <c r="N395" s="16" t="n">
        <v>0.0465187102668545</v>
      </c>
      <c r="O395" s="16" t="n">
        <v>0.059363780579444</v>
      </c>
      <c r="P395" s="16" t="n">
        <v>0.00423744292237438</v>
      </c>
      <c r="Q395" s="16" t="n">
        <v>0</v>
      </c>
      <c r="R395" s="16" t="n">
        <v>0.00739677633031577</v>
      </c>
      <c r="S395" s="16" t="n">
        <v>0.0344512543301991</v>
      </c>
      <c r="V395" s="17" t="s">
        <v>535</v>
      </c>
      <c r="W395" s="18" t="n">
        <v>192.93</v>
      </c>
      <c r="X395" s="18" t="n">
        <v>170.78</v>
      </c>
      <c r="Y395" s="16" t="n">
        <f aca="false">IF(AND(ISNUMBER(W395),ISNUMBER(X395)),X395/W395-1,"")</f>
        <v>-0.114808479759498</v>
      </c>
      <c r="Z395" s="16" t="n">
        <v>-0.0806137249327377</v>
      </c>
      <c r="AA395" s="16" t="n">
        <v>0.0323024325067789</v>
      </c>
      <c r="AC395" s="16" t="n">
        <f aca="false">IF(AND(ISNUMBER(N395),ISNUMBER(AA395)),N395-AA395,"")</f>
        <v>0.0142162777600756</v>
      </c>
    </row>
    <row r="396" customFormat="false" ht="15" hidden="false" customHeight="false" outlineLevel="0" collapsed="false">
      <c r="A396" s="0" t="s">
        <v>1000</v>
      </c>
      <c r="B396" s="0" t="s">
        <v>1001</v>
      </c>
      <c r="C396" s="0" t="s">
        <v>31</v>
      </c>
      <c r="D396" s="15" t="n">
        <v>1342.4</v>
      </c>
      <c r="E396" s="15" t="n">
        <v>2363.1</v>
      </c>
      <c r="F396" s="15" t="n">
        <v>1902.9</v>
      </c>
      <c r="G396" s="15" t="n">
        <v>1273.1</v>
      </c>
      <c r="H396" s="15" t="n">
        <v>1283</v>
      </c>
      <c r="I396" s="15" t="n">
        <v>228.1</v>
      </c>
      <c r="J396" s="15" t="n">
        <v>819.2</v>
      </c>
      <c r="K396" s="15" t="n">
        <v>515.1</v>
      </c>
      <c r="L396" s="15" t="n">
        <v>302.2</v>
      </c>
      <c r="M396" s="15" t="n">
        <v>264.1</v>
      </c>
      <c r="N396" s="16" t="n">
        <v>0.0462977396726423</v>
      </c>
      <c r="O396" s="16" t="n">
        <v>-0.136312003029156</v>
      </c>
      <c r="P396" s="16" t="n">
        <v>-0.431932630866235</v>
      </c>
      <c r="Q396" s="16" t="n">
        <v>0.241841399968469</v>
      </c>
      <c r="R396" s="16" t="n">
        <v>0.494697981305475</v>
      </c>
      <c r="S396" s="16" t="n">
        <v>-0.00771628994544038</v>
      </c>
      <c r="V396" s="17" t="s">
        <v>134</v>
      </c>
      <c r="W396" s="18" t="n">
        <v>42.38</v>
      </c>
      <c r="X396" s="18" t="n">
        <v>39.25</v>
      </c>
      <c r="Y396" s="16" t="n">
        <f aca="false">IF(AND(ISNUMBER(W396),ISNUMBER(X396)),X396/W396-1,"")</f>
        <v>-0.0738555922605003</v>
      </c>
      <c r="Z396" s="16" t="n">
        <v>-0.0490514546229381</v>
      </c>
      <c r="AA396" s="16" t="n">
        <v>0.182525377098947</v>
      </c>
      <c r="AC396" s="16" t="n">
        <f aca="false">IF(AND(ISNUMBER(N396),ISNUMBER(AA396)),N396-AA396,"")</f>
        <v>-0.136227637426305</v>
      </c>
    </row>
    <row r="397" customFormat="false" ht="15" hidden="false" customHeight="false" outlineLevel="0" collapsed="false">
      <c r="A397" s="0" t="s">
        <v>1002</v>
      </c>
      <c r="B397" s="0" t="s">
        <v>1003</v>
      </c>
      <c r="C397" s="0" t="s">
        <v>31</v>
      </c>
      <c r="D397" s="15" t="n">
        <v>4430</v>
      </c>
      <c r="E397" s="15" t="n">
        <v>4113</v>
      </c>
      <c r="F397" s="15" t="n">
        <v>4135</v>
      </c>
      <c r="G397" s="15" t="n">
        <v>4212</v>
      </c>
      <c r="H397" s="15" t="n">
        <v>4235</v>
      </c>
      <c r="I397" s="15" t="n">
        <v>905</v>
      </c>
      <c r="J397" s="15" t="n">
        <v>831</v>
      </c>
      <c r="K397" s="15" t="n">
        <v>807</v>
      </c>
      <c r="L397" s="15" t="n">
        <v>839</v>
      </c>
      <c r="M397" s="15" t="n">
        <v>870</v>
      </c>
      <c r="N397" s="16" t="n">
        <v>0.0460448642266824</v>
      </c>
      <c r="O397" s="16" t="n">
        <v>0.0402298850574712</v>
      </c>
      <c r="P397" s="16" t="n">
        <v>0.0770726963287138</v>
      </c>
      <c r="Q397" s="16" t="n">
        <v>-0.00532043530834336</v>
      </c>
      <c r="R397" s="16" t="n">
        <v>-0.018281101614435</v>
      </c>
      <c r="S397" s="16" t="n">
        <v>-0.00543093270366002</v>
      </c>
      <c r="V397" s="17" t="s">
        <v>47</v>
      </c>
      <c r="W397" s="18" t="n">
        <v>227.4</v>
      </c>
      <c r="X397" s="18" t="n">
        <v>213.1</v>
      </c>
      <c r="Y397" s="16" t="n">
        <f aca="false">IF(AND(ISNUMBER(W397),ISNUMBER(X397)),X397/W397-1,"")</f>
        <v>-0.0628847845206685</v>
      </c>
      <c r="Z397" s="16" t="n">
        <v>-0.0520848541443403</v>
      </c>
      <c r="AA397" s="16" t="n">
        <v>0.0469654728715419</v>
      </c>
      <c r="AC397" s="16" t="n">
        <f aca="false">IF(AND(ISNUMBER(N397),ISNUMBER(AA397)),N397-AA397,"")</f>
        <v>-0.00092060864485944</v>
      </c>
    </row>
    <row r="398" customFormat="false" ht="15" hidden="false" customHeight="false" outlineLevel="0" collapsed="false">
      <c r="A398" s="0" t="s">
        <v>1004</v>
      </c>
      <c r="B398" s="0" t="s">
        <v>1005</v>
      </c>
      <c r="C398" s="0" t="s">
        <v>31</v>
      </c>
      <c r="D398" s="15" t="n">
        <v>3161</v>
      </c>
      <c r="E398" s="15" t="n">
        <v>3171.8</v>
      </c>
      <c r="F398" s="15" t="n">
        <v>3102.5</v>
      </c>
      <c r="G398" s="15" t="n">
        <v>3166.9</v>
      </c>
      <c r="H398" s="15" t="n">
        <v>3022.7</v>
      </c>
      <c r="I398" s="15" t="n">
        <v>810.3</v>
      </c>
      <c r="J398" s="15" t="n">
        <v>752.7</v>
      </c>
      <c r="K398" s="15" t="n">
        <v>756.5</v>
      </c>
      <c r="L398" s="15" t="n">
        <v>811.8</v>
      </c>
      <c r="M398" s="15" t="n">
        <v>772.4</v>
      </c>
      <c r="N398" s="16" t="n">
        <v>0.0457537962748535</v>
      </c>
      <c r="O398" s="16" t="n">
        <v>0.0490678404971516</v>
      </c>
      <c r="P398" s="16" t="n">
        <v>-0.0034050066208462</v>
      </c>
      <c r="Q398" s="16" t="n">
        <v>0.0223368251410152</v>
      </c>
      <c r="R398" s="16" t="n">
        <v>-0.020335343711516</v>
      </c>
      <c r="S398" s="16" t="n">
        <v>0.0477056935852054</v>
      </c>
      <c r="V398" s="17" t="s">
        <v>104</v>
      </c>
      <c r="W398" s="18" t="n">
        <v>272.28</v>
      </c>
      <c r="X398" s="18" t="n">
        <v>286.97</v>
      </c>
      <c r="Y398" s="16" t="n">
        <f aca="false">IF(AND(ISNUMBER(W398),ISNUMBER(X398)),X398/W398-1,"")</f>
        <v>0.0539518143088</v>
      </c>
      <c r="Z398" s="16" t="n">
        <v>0.0820396365213849</v>
      </c>
      <c r="AA398" s="16" t="n">
        <v>0.0124602244180205</v>
      </c>
      <c r="AC398" s="16" t="n">
        <f aca="false">IF(AND(ISNUMBER(N398),ISNUMBER(AA398)),N398-AA398,"")</f>
        <v>0.033293571856833</v>
      </c>
    </row>
    <row r="399" customFormat="false" ht="15" hidden="false" customHeight="false" outlineLevel="0" collapsed="false">
      <c r="A399" s="0" t="s">
        <v>1006</v>
      </c>
      <c r="B399" s="0" t="s">
        <v>1007</v>
      </c>
      <c r="C399" s="0" t="s">
        <v>31</v>
      </c>
      <c r="D399" s="15" t="n">
        <v>5481</v>
      </c>
      <c r="E399" s="15" t="n">
        <v>5413</v>
      </c>
      <c r="F399" s="15" t="n">
        <v>5333</v>
      </c>
      <c r="G399" s="15" t="n">
        <v>5415</v>
      </c>
      <c r="H399" s="15" t="n">
        <v>5245</v>
      </c>
      <c r="I399" s="15" t="n">
        <v>958</v>
      </c>
      <c r="J399" s="15" t="n">
        <v>843</v>
      </c>
      <c r="K399" s="15" t="n">
        <v>853</v>
      </c>
      <c r="L399" s="15" t="n">
        <v>866</v>
      </c>
      <c r="M399" s="15" t="n">
        <v>817</v>
      </c>
      <c r="N399" s="16" t="n">
        <v>0.0449952335557673</v>
      </c>
      <c r="O399" s="16" t="n">
        <v>0.172582619339045</v>
      </c>
      <c r="P399" s="16" t="n">
        <v>0.0125623498983927</v>
      </c>
      <c r="Q399" s="16" t="n">
        <v>0.0150009375585973</v>
      </c>
      <c r="R399" s="16" t="n">
        <v>-0.0151431209602955</v>
      </c>
      <c r="S399" s="16" t="n">
        <v>0.0324118207816968</v>
      </c>
      <c r="V399" s="17" t="s">
        <v>34</v>
      </c>
      <c r="W399" s="18" t="n">
        <v>68.36</v>
      </c>
      <c r="X399" s="18" t="n">
        <v>59.14</v>
      </c>
      <c r="Y399" s="16" t="n">
        <f aca="false">IF(AND(ISNUMBER(W399),ISNUMBER(X399)),X399/W399-1,"")</f>
        <v>-0.134874195435927</v>
      </c>
      <c r="Z399" s="16" t="n">
        <v>-0.115352814155911</v>
      </c>
      <c r="AA399" s="16" t="n">
        <v>0.0814432989690721</v>
      </c>
      <c r="AC399" s="16" t="n">
        <f aca="false">IF(AND(ISNUMBER(N399),ISNUMBER(AA399)),N399-AA399,"")</f>
        <v>-0.0364480654133048</v>
      </c>
    </row>
    <row r="400" customFormat="false" ht="15" hidden="false" customHeight="false" outlineLevel="0" collapsed="false">
      <c r="A400" s="0" t="s">
        <v>1008</v>
      </c>
      <c r="B400" s="0" t="s">
        <v>1009</v>
      </c>
      <c r="C400" s="0" t="s">
        <v>31</v>
      </c>
      <c r="D400" s="15" t="n">
        <v>1027.314</v>
      </c>
      <c r="E400" s="15" t="n">
        <v>947.127</v>
      </c>
      <c r="F400" s="15" t="n">
        <v>1129.735</v>
      </c>
      <c r="G400" s="15" t="n">
        <v>1029.699</v>
      </c>
      <c r="H400" s="15" t="n">
        <v>983.221</v>
      </c>
      <c r="I400" s="15" t="n">
        <v>314.469</v>
      </c>
      <c r="J400" s="15" t="n">
        <v>226.603</v>
      </c>
      <c r="K400" s="15" t="n">
        <v>343.337</v>
      </c>
      <c r="L400" s="15" t="n">
        <v>289.9</v>
      </c>
      <c r="M400" s="15" t="n">
        <v>265.712</v>
      </c>
      <c r="N400" s="16" t="n">
        <v>0.0448454620070158</v>
      </c>
      <c r="O400" s="16" t="n">
        <v>0.183495664478834</v>
      </c>
      <c r="P400" s="16" t="n">
        <v>0.0846634083919051</v>
      </c>
      <c r="Q400" s="16" t="n">
        <v>-0.161637906234648</v>
      </c>
      <c r="R400" s="16" t="n">
        <v>0.0971507207446059</v>
      </c>
      <c r="S400" s="16" t="n">
        <v>0.0472711628413145</v>
      </c>
      <c r="V400" s="17" t="s">
        <v>147</v>
      </c>
      <c r="W400" s="18" t="n">
        <v>1242.28</v>
      </c>
      <c r="X400" s="18" t="n">
        <v>1492.34</v>
      </c>
      <c r="Y400" s="16" t="n">
        <f aca="false">IF(AND(ISNUMBER(W400),ISNUMBER(X400)),X400/W400-1,"")</f>
        <v>0.20129117429243</v>
      </c>
      <c r="Z400" s="16" t="n">
        <v>0.201291118448528</v>
      </c>
      <c r="AA400" s="16" t="n">
        <v>0.038522313176657</v>
      </c>
      <c r="AB400" s="19" t="s">
        <v>35</v>
      </c>
      <c r="AC400" s="16" t="n">
        <f aca="false">IF(AND(ISNUMBER(N400),ISNUMBER(AA400)),N400-AA400,"")</f>
        <v>0.00632314883035878</v>
      </c>
    </row>
    <row r="401" customFormat="false" ht="15" hidden="false" customHeight="false" outlineLevel="0" collapsed="false">
      <c r="A401" s="0" t="s">
        <v>1010</v>
      </c>
      <c r="B401" s="0" t="s">
        <v>1011</v>
      </c>
      <c r="C401" s="0" t="s">
        <v>132</v>
      </c>
      <c r="D401" s="15" t="n">
        <v>856.027</v>
      </c>
      <c r="E401" s="15" t="n">
        <v>857.467</v>
      </c>
      <c r="F401" s="15" t="n">
        <v>858.46</v>
      </c>
      <c r="G401" s="15" t="n">
        <v>841.618</v>
      </c>
      <c r="H401" s="15" t="n">
        <v>819.997</v>
      </c>
      <c r="I401" s="15" t="n">
        <v>367.553</v>
      </c>
      <c r="J401" s="15" t="n">
        <v>376.95</v>
      </c>
      <c r="K401" s="15" t="n">
        <v>384.248</v>
      </c>
      <c r="L401" s="15" t="n">
        <v>374.834</v>
      </c>
      <c r="M401" s="15" t="n">
        <v>352.969</v>
      </c>
      <c r="N401" s="16" t="n">
        <v>0.0439391851433604</v>
      </c>
      <c r="O401" s="16" t="n">
        <v>0.041318076091668</v>
      </c>
      <c r="P401" s="16" t="n">
        <v>-0.00167936492016607</v>
      </c>
      <c r="Q401" s="16" t="n">
        <v>-0.00115672250308696</v>
      </c>
      <c r="R401" s="16" t="n">
        <v>0.0200114541276446</v>
      </c>
      <c r="S401" s="16" t="n">
        <v>0.0263671696359864</v>
      </c>
      <c r="V401" s="17" t="s">
        <v>535</v>
      </c>
      <c r="W401" s="18" t="n">
        <v>137.66</v>
      </c>
      <c r="X401" s="18" t="n">
        <v>133.84</v>
      </c>
      <c r="Y401" s="16" t="n">
        <f aca="false">IF(AND(ISNUMBER(W401),ISNUMBER(X401)),X401/W401-1,"")</f>
        <v>-0.0277495278221706</v>
      </c>
      <c r="Z401" s="16" t="n">
        <v>0.0181708223057993</v>
      </c>
      <c r="AA401" s="16" t="n">
        <v>0.0381847944213563</v>
      </c>
      <c r="AC401" s="16" t="n">
        <f aca="false">IF(AND(ISNUMBER(N401),ISNUMBER(AA401)),N401-AA401,"")</f>
        <v>0.00575439072200412</v>
      </c>
    </row>
    <row r="402" customFormat="false" ht="15" hidden="false" customHeight="false" outlineLevel="0" collapsed="false">
      <c r="A402" s="0" t="s">
        <v>1012</v>
      </c>
      <c r="B402" s="0" t="s">
        <v>1013</v>
      </c>
      <c r="C402" s="0" t="s">
        <v>31</v>
      </c>
      <c r="D402" s="15" t="n">
        <v>1500.1</v>
      </c>
      <c r="E402" s="15" t="n">
        <v>1443.7</v>
      </c>
      <c r="F402" s="15" t="n">
        <v>1340.2</v>
      </c>
      <c r="G402" s="15" t="n">
        <v>1809.9</v>
      </c>
      <c r="H402" s="15" t="n">
        <v>1437</v>
      </c>
      <c r="I402" s="15" t="n">
        <v>376.3</v>
      </c>
      <c r="J402" s="15" t="n">
        <v>312.1</v>
      </c>
      <c r="K402" s="15" t="n">
        <v>255.9</v>
      </c>
      <c r="L402" s="15" t="n">
        <v>652.1</v>
      </c>
      <c r="M402" s="15" t="n">
        <v>339.1</v>
      </c>
      <c r="N402" s="16" t="n">
        <v>0.043910925539318</v>
      </c>
      <c r="O402" s="16" t="n">
        <v>0.109702152757299</v>
      </c>
      <c r="P402" s="16" t="n">
        <v>0.0390662880099744</v>
      </c>
      <c r="Q402" s="16" t="n">
        <v>0.0772272795105209</v>
      </c>
      <c r="R402" s="16" t="n">
        <v>-0.259517100392287</v>
      </c>
      <c r="S402" s="16" t="n">
        <v>0.259498956158664</v>
      </c>
      <c r="V402" s="17" t="s">
        <v>134</v>
      </c>
      <c r="W402" s="18" t="n">
        <v>73.71</v>
      </c>
      <c r="X402" s="18" t="n">
        <v>78.42</v>
      </c>
      <c r="Y402" s="16" t="n">
        <f aca="false">IF(AND(ISNUMBER(W402),ISNUMBER(X402)),X402/W402-1,"")</f>
        <v>0.063899063899064</v>
      </c>
      <c r="Z402" s="16" t="n">
        <v>0.100996080887869</v>
      </c>
      <c r="AA402" s="16" t="n">
        <v>-0.0072538860103627</v>
      </c>
      <c r="AC402" s="16" t="n">
        <f aca="false">IF(AND(ISNUMBER(N402),ISNUMBER(AA402)),N402-AA402,"")</f>
        <v>0.0511648115496807</v>
      </c>
    </row>
    <row r="403" customFormat="false" ht="15" hidden="false" customHeight="false" outlineLevel="0" collapsed="false">
      <c r="A403" s="0" t="s">
        <v>1014</v>
      </c>
      <c r="B403" s="0" t="s">
        <v>1015</v>
      </c>
      <c r="C403" s="0" t="s">
        <v>31</v>
      </c>
      <c r="D403" s="15" t="n">
        <v>143</v>
      </c>
      <c r="E403" s="15" t="n">
        <v>389</v>
      </c>
      <c r="F403" s="15" t="n">
        <v>676</v>
      </c>
      <c r="G403" s="15" t="n">
        <v>1002</v>
      </c>
      <c r="H403" s="15" t="n">
        <v>137</v>
      </c>
      <c r="I403" s="15" t="n">
        <v>-815</v>
      </c>
      <c r="J403" s="15" t="n">
        <v>-1388</v>
      </c>
      <c r="K403" s="15" t="n">
        <v>-857</v>
      </c>
      <c r="L403" s="15" t="n">
        <v>-260</v>
      </c>
      <c r="M403" s="15" t="n">
        <v>-907</v>
      </c>
      <c r="N403" s="16" t="n">
        <v>0.0437956204379562</v>
      </c>
      <c r="O403" s="21" t="s">
        <v>527</v>
      </c>
      <c r="P403" s="16" t="n">
        <v>-0.632390745501285</v>
      </c>
      <c r="Q403" s="16" t="n">
        <v>-0.424556213017752</v>
      </c>
      <c r="R403" s="16" t="n">
        <v>-0.325349301397206</v>
      </c>
      <c r="S403" s="16" t="n">
        <v>6.31386861313869</v>
      </c>
      <c r="V403" s="17" t="s">
        <v>147</v>
      </c>
      <c r="W403" s="18" t="n">
        <v>25.88</v>
      </c>
      <c r="X403" s="18" t="n">
        <v>182.11</v>
      </c>
      <c r="Y403" s="16" t="n">
        <f aca="false">IF(AND(ISNUMBER(W403),ISNUMBER(X403)),X403/W403-1,"")</f>
        <v>6.03670788253478</v>
      </c>
      <c r="Z403" s="16" t="n">
        <v>6.03670813430418</v>
      </c>
      <c r="AA403" s="16" t="n">
        <v>-0.410788381742739</v>
      </c>
      <c r="AB403" s="19" t="s">
        <v>35</v>
      </c>
      <c r="AC403" s="16" t="n">
        <f aca="false">IF(AND(ISNUMBER(N403),ISNUMBER(AA403)),N403-AA403,"")</f>
        <v>0.454584002180695</v>
      </c>
    </row>
    <row r="404" customFormat="false" ht="15" hidden="false" customHeight="false" outlineLevel="0" collapsed="false">
      <c r="A404" s="0" t="s">
        <v>1016</v>
      </c>
      <c r="B404" s="0" t="s">
        <v>1017</v>
      </c>
      <c r="C404" s="0" t="s">
        <v>31</v>
      </c>
      <c r="D404" s="15" t="n">
        <v>806.3</v>
      </c>
      <c r="E404" s="15" t="n">
        <v>782.6</v>
      </c>
      <c r="F404" s="15" t="n">
        <v>778.8</v>
      </c>
      <c r="G404" s="15" t="n">
        <v>768.3</v>
      </c>
      <c r="H404" s="15" t="n">
        <v>772.6</v>
      </c>
      <c r="I404" s="15" t="n">
        <v>363.7</v>
      </c>
      <c r="J404" s="15" t="n">
        <v>352.2</v>
      </c>
      <c r="K404" s="15" t="n">
        <v>313.6</v>
      </c>
      <c r="L404" s="15" t="n">
        <v>345.9</v>
      </c>
      <c r="M404" s="15" t="n">
        <v>354.3</v>
      </c>
      <c r="N404" s="16" t="n">
        <v>0.0436189490033652</v>
      </c>
      <c r="O404" s="16" t="n">
        <v>0.026531188258538</v>
      </c>
      <c r="P404" s="16" t="n">
        <v>0.0302836698185536</v>
      </c>
      <c r="Q404" s="16" t="n">
        <v>0.00487930148947102</v>
      </c>
      <c r="R404" s="16" t="n">
        <v>0.0136665365091762</v>
      </c>
      <c r="S404" s="16" t="n">
        <v>-0.00556562257312965</v>
      </c>
      <c r="V404" s="17" t="s">
        <v>47</v>
      </c>
      <c r="W404" s="18" t="n">
        <v>242.95</v>
      </c>
      <c r="X404" s="18" t="n">
        <v>171.8</v>
      </c>
      <c r="Y404" s="16" t="n">
        <f aca="false">IF(AND(ISNUMBER(W404),ISNUMBER(X404)),X404/W404-1,"")</f>
        <v>-0.292858612883309</v>
      </c>
      <c r="Z404" s="16" t="n">
        <v>-0.285749176467215</v>
      </c>
      <c r="AA404" s="16" t="n">
        <v>0.0778459821428572</v>
      </c>
      <c r="AB404" s="17" t="s">
        <v>97</v>
      </c>
      <c r="AC404" s="16" t="n">
        <f aca="false">IF(AND(ISNUMBER(N404),ISNUMBER(AA404)),N404-AA404,"")</f>
        <v>-0.0342270331394921</v>
      </c>
    </row>
    <row r="405" customFormat="false" ht="15" hidden="false" customHeight="false" outlineLevel="0" collapsed="false">
      <c r="A405" s="0" t="s">
        <v>1018</v>
      </c>
      <c r="B405" s="0" t="s">
        <v>1019</v>
      </c>
      <c r="C405" s="0" t="s">
        <v>31</v>
      </c>
      <c r="D405" s="15" t="n">
        <v>1056.192</v>
      </c>
      <c r="E405" s="15" t="n">
        <v>1040.087</v>
      </c>
      <c r="F405" s="15" t="n">
        <v>1047.561</v>
      </c>
      <c r="G405" s="15" t="n">
        <v>995.692</v>
      </c>
      <c r="H405" s="15" t="n">
        <v>1012.449</v>
      </c>
      <c r="I405" s="15" t="n">
        <v>192.727</v>
      </c>
      <c r="J405" s="15" t="n">
        <v>172.587</v>
      </c>
      <c r="K405" s="15" t="n">
        <v>158.875</v>
      </c>
      <c r="L405" s="15" t="n">
        <v>128.125</v>
      </c>
      <c r="M405" s="15" t="n">
        <v>163.033</v>
      </c>
      <c r="N405" s="16" t="n">
        <v>0.0432051392218276</v>
      </c>
      <c r="O405" s="16" t="n">
        <v>0.182134905203241</v>
      </c>
      <c r="P405" s="16" t="n">
        <v>0.0154842816033658</v>
      </c>
      <c r="Q405" s="16" t="n">
        <v>-0.00713466805274343</v>
      </c>
      <c r="R405" s="16" t="n">
        <v>0.0520934184466682</v>
      </c>
      <c r="S405" s="16" t="n">
        <v>-0.016550957134631</v>
      </c>
      <c r="V405" s="17" t="s">
        <v>147</v>
      </c>
      <c r="W405" s="18" t="n">
        <v>128.18</v>
      </c>
      <c r="X405" s="18" t="n">
        <v>148.17</v>
      </c>
      <c r="Y405" s="16" t="n">
        <f aca="false">IF(AND(ISNUMBER(W405),ISNUMBER(X405)),X405/W405-1,"")</f>
        <v>0.155952566703074</v>
      </c>
      <c r="Z405" s="16" t="n">
        <v>0.155952618469302</v>
      </c>
      <c r="AA405" s="16" t="n">
        <v>-0.0155966514015693</v>
      </c>
      <c r="AC405" s="16" t="n">
        <f aca="false">IF(AND(ISNUMBER(N405),ISNUMBER(AA405)),N405-AA405,"")</f>
        <v>0.0588017906233969</v>
      </c>
    </row>
    <row r="406" customFormat="false" ht="15" hidden="false" customHeight="false" outlineLevel="0" collapsed="false">
      <c r="A406" s="0" t="s">
        <v>1020</v>
      </c>
      <c r="B406" s="0" t="s">
        <v>1021</v>
      </c>
      <c r="C406" s="0" t="s">
        <v>31</v>
      </c>
      <c r="D406" s="15" t="n">
        <v>1194.427</v>
      </c>
      <c r="E406" s="15" t="n">
        <v>1150.594</v>
      </c>
      <c r="F406" s="15" t="n">
        <v>1535.74</v>
      </c>
      <c r="G406" s="15" t="n">
        <v>1147.054</v>
      </c>
      <c r="H406" s="15" t="n">
        <v>1145.144</v>
      </c>
      <c r="I406" s="15" t="n">
        <v>227.952</v>
      </c>
      <c r="J406" s="15" t="n">
        <v>222.577</v>
      </c>
      <c r="K406" s="15" t="n">
        <v>295.522</v>
      </c>
      <c r="L406" s="15" t="n">
        <v>223.168</v>
      </c>
      <c r="M406" s="15" t="n">
        <v>221.161</v>
      </c>
      <c r="N406" s="16" t="n">
        <v>0.0430365089456</v>
      </c>
      <c r="O406" s="16" t="n">
        <v>0.030706137157998</v>
      </c>
      <c r="P406" s="16" t="n">
        <v>0.0380959747747685</v>
      </c>
      <c r="Q406" s="16" t="n">
        <v>-0.250788544935992</v>
      </c>
      <c r="R406" s="16" t="n">
        <v>0.338855886470907</v>
      </c>
      <c r="S406" s="16" t="n">
        <v>0.00166791250707332</v>
      </c>
      <c r="V406" s="17" t="s">
        <v>43</v>
      </c>
      <c r="W406" s="18" t="n">
        <v>425.3</v>
      </c>
      <c r="X406" s="18" t="n">
        <v>296.43</v>
      </c>
      <c r="Y406" s="16" t="n">
        <f aca="false">IF(AND(ISNUMBER(W406),ISNUMBER(X406)),X406/W406-1,"")</f>
        <v>-0.303009640253938</v>
      </c>
      <c r="Z406" s="16" t="n">
        <v>-0.287929692442556</v>
      </c>
      <c r="AA406" s="16" t="n">
        <v>0.0431870686576736</v>
      </c>
      <c r="AC406" s="16" t="n">
        <f aca="false">IF(AND(ISNUMBER(N406),ISNUMBER(AA406)),N406-AA406,"")</f>
        <v>-0.000150559712073672</v>
      </c>
    </row>
    <row r="407" customFormat="false" ht="15" hidden="false" customHeight="false" outlineLevel="0" collapsed="false">
      <c r="A407" s="0" t="s">
        <v>1022</v>
      </c>
      <c r="B407" s="0" t="s">
        <v>1023</v>
      </c>
      <c r="C407" s="0" t="s">
        <v>31</v>
      </c>
      <c r="D407" s="15" t="n">
        <v>9719</v>
      </c>
      <c r="E407" s="15" t="n">
        <v>9143</v>
      </c>
      <c r="F407" s="15" t="n">
        <v>6860</v>
      </c>
      <c r="G407" s="15" t="n">
        <v>10408</v>
      </c>
      <c r="H407" s="15" t="n">
        <v>9322</v>
      </c>
      <c r="I407" s="15" t="n">
        <v>1785</v>
      </c>
      <c r="J407" s="15" t="n">
        <v>1737</v>
      </c>
      <c r="K407" s="15" t="n">
        <v>714</v>
      </c>
      <c r="L407" s="15" t="n">
        <v>1754</v>
      </c>
      <c r="M407" s="15" t="n">
        <v>1843</v>
      </c>
      <c r="N407" s="16" t="n">
        <v>0.0425874275906457</v>
      </c>
      <c r="O407" s="16" t="n">
        <v>-0.0314704286489419</v>
      </c>
      <c r="P407" s="16" t="n">
        <v>0.0629990156403806</v>
      </c>
      <c r="Q407" s="16" t="n">
        <v>0.332798833819242</v>
      </c>
      <c r="R407" s="16" t="n">
        <v>-0.340891621829362</v>
      </c>
      <c r="S407" s="16" t="n">
        <v>0.116498605449474</v>
      </c>
      <c r="V407" s="17" t="s">
        <v>47</v>
      </c>
      <c r="W407" s="18" t="n">
        <v>206.195</v>
      </c>
      <c r="X407" s="18" t="n">
        <v>212.57</v>
      </c>
      <c r="Y407" s="16" t="n">
        <f aca="false">IF(AND(ISNUMBER(W407),ISNUMBER(X407)),X407/W407-1,"")</f>
        <v>0.0309173355318995</v>
      </c>
      <c r="Z407" s="16" t="n">
        <v>0.0511132257637119</v>
      </c>
      <c r="AA407" s="16" t="n">
        <v>0.0809230447948208</v>
      </c>
      <c r="AC407" s="16" t="n">
        <f aca="false">IF(AND(ISNUMBER(N407),ISNUMBER(AA407)),N407-AA407,"")</f>
        <v>-0.0383356172041751</v>
      </c>
    </row>
    <row r="408" customFormat="false" ht="15" hidden="false" customHeight="false" outlineLevel="0" collapsed="false">
      <c r="A408" s="0" t="s">
        <v>1024</v>
      </c>
      <c r="B408" s="0" t="s">
        <v>1025</v>
      </c>
      <c r="C408" s="0" t="s">
        <v>31</v>
      </c>
      <c r="D408" s="15" t="n">
        <v>2111</v>
      </c>
      <c r="E408" s="15" t="n">
        <v>2774</v>
      </c>
      <c r="F408" s="15" t="n">
        <v>2274</v>
      </c>
      <c r="G408" s="15" t="n">
        <v>2239</v>
      </c>
      <c r="H408" s="15" t="n">
        <v>2025</v>
      </c>
      <c r="I408" s="15" t="n">
        <v>475</v>
      </c>
      <c r="J408" s="15" t="n">
        <v>745</v>
      </c>
      <c r="K408" s="15" t="n">
        <v>476</v>
      </c>
      <c r="L408" s="15" t="n">
        <v>569</v>
      </c>
      <c r="M408" s="15" t="n">
        <v>406</v>
      </c>
      <c r="N408" s="16" t="n">
        <v>0.0424691358024691</v>
      </c>
      <c r="O408" s="16" t="n">
        <v>0.169950738916256</v>
      </c>
      <c r="P408" s="16" t="n">
        <v>-0.239005046863735</v>
      </c>
      <c r="Q408" s="16" t="n">
        <v>0.219876868953386</v>
      </c>
      <c r="R408" s="16" t="n">
        <v>0.0156319785618579</v>
      </c>
      <c r="S408" s="16" t="n">
        <v>0.105679012345679</v>
      </c>
      <c r="V408" s="17" t="s">
        <v>134</v>
      </c>
      <c r="W408" s="18" t="n">
        <v>36.5</v>
      </c>
      <c r="X408" s="18" t="n">
        <v>32.25</v>
      </c>
      <c r="Y408" s="16" t="n">
        <f aca="false">IF(AND(ISNUMBER(W408),ISNUMBER(X408)),X408/W408-1,"")</f>
        <v>-0.116438356164384</v>
      </c>
      <c r="Z408" s="16" t="n">
        <v>-0.0878312678433091</v>
      </c>
      <c r="AA408" s="16" t="n">
        <v>0.0765550239234449</v>
      </c>
      <c r="AC408" s="16" t="n">
        <f aca="false">IF(AND(ISNUMBER(N408),ISNUMBER(AA408)),N408-AA408,"")</f>
        <v>-0.0340858881209758</v>
      </c>
    </row>
    <row r="409" customFormat="false" ht="15" hidden="false" customHeight="false" outlineLevel="0" collapsed="false">
      <c r="A409" s="0" t="s">
        <v>1026</v>
      </c>
      <c r="B409" s="0" t="s">
        <v>1027</v>
      </c>
      <c r="C409" s="0" t="s">
        <v>31</v>
      </c>
      <c r="D409" s="15" t="n">
        <v>1334.8</v>
      </c>
      <c r="E409" s="15" t="n">
        <v>1308.3</v>
      </c>
      <c r="F409" s="15" t="n">
        <v>1339.9</v>
      </c>
      <c r="G409" s="15" t="n">
        <v>1291.9</v>
      </c>
      <c r="H409" s="15" t="n">
        <v>1281.1</v>
      </c>
      <c r="I409" s="15" t="n">
        <v>336.4</v>
      </c>
      <c r="J409" s="15" t="n">
        <v>318.8</v>
      </c>
      <c r="K409" s="15" t="n">
        <v>339.6</v>
      </c>
      <c r="L409" s="15" t="n">
        <v>347.4</v>
      </c>
      <c r="M409" s="15" t="n">
        <v>327.3</v>
      </c>
      <c r="N409" s="16" t="n">
        <v>0.0419171024900475</v>
      </c>
      <c r="O409" s="16" t="n">
        <v>0.0278032386190039</v>
      </c>
      <c r="P409" s="16" t="n">
        <v>0.0202552931284874</v>
      </c>
      <c r="Q409" s="16" t="n">
        <v>-0.0235838495410106</v>
      </c>
      <c r="R409" s="16" t="n">
        <v>0.0371545785277498</v>
      </c>
      <c r="S409" s="16" t="n">
        <v>0.00843025524939511</v>
      </c>
      <c r="V409" s="17" t="s">
        <v>47</v>
      </c>
      <c r="W409" s="18" t="n">
        <v>339.47</v>
      </c>
      <c r="X409" s="18" t="n">
        <v>370.25</v>
      </c>
      <c r="Y409" s="16" t="n">
        <f aca="false">IF(AND(ISNUMBER(W409),ISNUMBER(X409)),X409/W409-1,"")</f>
        <v>0.0906707514655196</v>
      </c>
      <c r="Z409" s="16" t="n">
        <v>0.120220595431863</v>
      </c>
      <c r="AA409" s="16" t="n">
        <v>0.000937573247909995</v>
      </c>
      <c r="AC409" s="16" t="n">
        <f aca="false">IF(AND(ISNUMBER(N409),ISNUMBER(AA409)),N409-AA409,"")</f>
        <v>0.0409795292421376</v>
      </c>
    </row>
    <row r="410" customFormat="false" ht="15" hidden="false" customHeight="false" outlineLevel="0" collapsed="false">
      <c r="A410" s="0" t="s">
        <v>1028</v>
      </c>
      <c r="B410" s="0" t="s">
        <v>1029</v>
      </c>
      <c r="C410" s="0" t="s">
        <v>31</v>
      </c>
      <c r="D410" s="15" t="n">
        <v>2485</v>
      </c>
      <c r="E410" s="15" t="n">
        <v>2408</v>
      </c>
      <c r="F410" s="15" t="n">
        <v>2437</v>
      </c>
      <c r="G410" s="15" t="n">
        <v>2493</v>
      </c>
      <c r="H410" s="15" t="n">
        <v>2386</v>
      </c>
      <c r="N410" s="16" t="n">
        <v>0.0414920368818106</v>
      </c>
      <c r="P410" s="16" t="n">
        <v>0.0319767441860466</v>
      </c>
      <c r="Q410" s="16" t="n">
        <v>-0.0118998768978252</v>
      </c>
      <c r="R410" s="16" t="n">
        <v>-0.0224628961091055</v>
      </c>
      <c r="S410" s="16" t="n">
        <v>0.0448449287510477</v>
      </c>
      <c r="V410" s="17" t="s">
        <v>51</v>
      </c>
      <c r="W410" s="18" t="n">
        <v>199.44</v>
      </c>
      <c r="X410" s="18" t="n">
        <v>219.58</v>
      </c>
      <c r="Y410" s="16" t="n">
        <f aca="false">IF(AND(ISNUMBER(W410),ISNUMBER(X410)),X410/W410-1,"")</f>
        <v>0.100982751704773</v>
      </c>
      <c r="Z410" s="16" t="n">
        <v>0.132530798443777</v>
      </c>
      <c r="AA410" s="16" t="n">
        <v>0.0747422680412371</v>
      </c>
      <c r="AC410" s="16" t="n">
        <f aca="false">IF(AND(ISNUMBER(N410),ISNUMBER(AA410)),N410-AA410,"")</f>
        <v>-0.0332502311594265</v>
      </c>
    </row>
    <row r="411" customFormat="false" ht="15" hidden="false" customHeight="false" outlineLevel="0" collapsed="false">
      <c r="A411" s="0" t="s">
        <v>1030</v>
      </c>
      <c r="B411" s="0" t="s">
        <v>1031</v>
      </c>
      <c r="C411" s="0" t="s">
        <v>31</v>
      </c>
      <c r="D411" s="15" t="n">
        <v>489.049</v>
      </c>
      <c r="E411" s="15" t="n">
        <v>484.756</v>
      </c>
      <c r="F411" s="15" t="n">
        <v>479.626</v>
      </c>
      <c r="G411" s="15" t="n">
        <v>473.303</v>
      </c>
      <c r="H411" s="15" t="n">
        <v>469.833</v>
      </c>
      <c r="I411" s="15" t="n">
        <v>107.736</v>
      </c>
      <c r="J411" s="15" t="n">
        <v>151.579</v>
      </c>
      <c r="K411" s="15" t="n">
        <v>151.879</v>
      </c>
      <c r="L411" s="15" t="n">
        <v>150.062</v>
      </c>
      <c r="M411" s="15" t="n">
        <v>153.758</v>
      </c>
      <c r="N411" s="16" t="n">
        <v>0.0408996388078318</v>
      </c>
      <c r="O411" s="16" t="n">
        <v>-0.299314507212633</v>
      </c>
      <c r="P411" s="16" t="n">
        <v>0.00885600178234003</v>
      </c>
      <c r="Q411" s="16" t="n">
        <v>0.0106958338371981</v>
      </c>
      <c r="R411" s="16" t="n">
        <v>0.0133593068288178</v>
      </c>
      <c r="S411" s="16" t="n">
        <v>0.00738560296956581</v>
      </c>
      <c r="V411" s="17" t="s">
        <v>535</v>
      </c>
      <c r="W411" s="18" t="n">
        <v>264.59</v>
      </c>
      <c r="X411" s="18" t="n">
        <v>273.47</v>
      </c>
      <c r="Y411" s="16" t="n">
        <f aca="false">IF(AND(ISNUMBER(W411),ISNUMBER(X411)),X411/W411-1,"")</f>
        <v>0.0335613590838657</v>
      </c>
      <c r="Z411" s="16" t="n">
        <v>0.0747673303325782</v>
      </c>
      <c r="AA411" s="16" t="n">
        <v>0.0621175300380916</v>
      </c>
      <c r="AC411" s="16" t="n">
        <f aca="false">IF(AND(ISNUMBER(N411),ISNUMBER(AA411)),N411-AA411,"")</f>
        <v>-0.0212178912302599</v>
      </c>
    </row>
    <row r="412" customFormat="false" ht="15" hidden="false" customHeight="false" outlineLevel="0" collapsed="false">
      <c r="A412" s="0" t="s">
        <v>1032</v>
      </c>
      <c r="B412" s="0" t="s">
        <v>1033</v>
      </c>
      <c r="C412" s="0" t="s">
        <v>31</v>
      </c>
      <c r="D412" s="15" t="n">
        <v>1819</v>
      </c>
      <c r="E412" s="15" t="n">
        <v>1681</v>
      </c>
      <c r="F412" s="15" t="n">
        <v>-1871</v>
      </c>
      <c r="G412" s="15" t="n">
        <v>3072</v>
      </c>
      <c r="H412" s="15" t="n">
        <v>1749</v>
      </c>
      <c r="I412" s="15" t="n">
        <v>260</v>
      </c>
      <c r="J412" s="15" t="n">
        <v>232</v>
      </c>
      <c r="K412" s="15" t="n">
        <v>-652</v>
      </c>
      <c r="L412" s="15" t="n">
        <v>547</v>
      </c>
      <c r="M412" s="15" t="n">
        <v>217</v>
      </c>
      <c r="N412" s="16" t="n">
        <v>0.0400228702115495</v>
      </c>
      <c r="O412" s="16" t="n">
        <v>0.19815668202765</v>
      </c>
      <c r="P412" s="16" t="n">
        <v>0.0820939916716241</v>
      </c>
      <c r="Q412" s="16" t="n">
        <v>-1.89845002672368</v>
      </c>
      <c r="R412" s="16" t="n">
        <v>-1.60904947916667</v>
      </c>
      <c r="S412" s="16" t="n">
        <v>0.756432246998285</v>
      </c>
      <c r="V412" s="17" t="s">
        <v>47</v>
      </c>
      <c r="W412" s="18" t="n">
        <v>95.159</v>
      </c>
      <c r="X412" s="18" t="n">
        <v>130.88</v>
      </c>
      <c r="Y412" s="16" t="n">
        <f aca="false">IF(AND(ISNUMBER(W412),ISNUMBER(X412)),X412/W412-1,"")</f>
        <v>0.375382254962746</v>
      </c>
      <c r="Z412" s="16" t="n">
        <v>0.39957795734783</v>
      </c>
      <c r="AA412" s="16" t="n">
        <v>0.0271207820876696</v>
      </c>
      <c r="AC412" s="16" t="n">
        <f aca="false">IF(AND(ISNUMBER(N412),ISNUMBER(AA412)),N412-AA412,"")</f>
        <v>0.0129020881238799</v>
      </c>
    </row>
    <row r="413" customFormat="false" ht="15" hidden="false" customHeight="false" outlineLevel="0" collapsed="false">
      <c r="A413" s="0" t="s">
        <v>1034</v>
      </c>
      <c r="B413" s="0" t="s">
        <v>1035</v>
      </c>
      <c r="C413" s="0" t="s">
        <v>31</v>
      </c>
      <c r="D413" s="15" t="n">
        <v>6684</v>
      </c>
      <c r="E413" s="15" t="n">
        <v>6227</v>
      </c>
      <c r="F413" s="15" t="n">
        <v>6313</v>
      </c>
      <c r="G413" s="15" t="n">
        <v>6443</v>
      </c>
      <c r="H413" s="15" t="n">
        <v>6430</v>
      </c>
      <c r="I413" s="15" t="n">
        <v>1269</v>
      </c>
      <c r="J413" s="15" t="n">
        <v>1091</v>
      </c>
      <c r="K413" s="15" t="n">
        <v>1176</v>
      </c>
      <c r="L413" s="15" t="n">
        <v>1216</v>
      </c>
      <c r="M413" s="15" t="n">
        <v>1187</v>
      </c>
      <c r="N413" s="16" t="n">
        <v>0.03950233281493</v>
      </c>
      <c r="O413" s="16" t="n">
        <v>0.0690817186183657</v>
      </c>
      <c r="P413" s="16" t="n">
        <v>0.0733900754777581</v>
      </c>
      <c r="Q413" s="16" t="n">
        <v>-0.0136226833518137</v>
      </c>
      <c r="R413" s="16" t="n">
        <v>-0.0201769362098402</v>
      </c>
      <c r="S413" s="16" t="n">
        <v>0.0020217729393468</v>
      </c>
      <c r="V413" s="17" t="s">
        <v>47</v>
      </c>
      <c r="W413" s="18" t="n">
        <v>219.42</v>
      </c>
      <c r="X413" s="18" t="n">
        <v>207.88</v>
      </c>
      <c r="Y413" s="16" t="n">
        <f aca="false">IF(AND(ISNUMBER(W413),ISNUMBER(X413)),X413/W413-1,"")</f>
        <v>-0.0525932002552183</v>
      </c>
      <c r="Z413" s="16" t="n">
        <v>-0.0367721530666723</v>
      </c>
      <c r="AA413" s="16" t="n">
        <v>0.190299888930026</v>
      </c>
      <c r="AC413" s="16" t="n">
        <f aca="false">IF(AND(ISNUMBER(N413),ISNUMBER(AA413)),N413-AA413,"")</f>
        <v>-0.150797556115096</v>
      </c>
    </row>
    <row r="414" customFormat="false" ht="15" hidden="false" customHeight="false" outlineLevel="0" collapsed="false">
      <c r="A414" s="0" t="s">
        <v>1036</v>
      </c>
      <c r="B414" s="0" t="s">
        <v>1037</v>
      </c>
      <c r="C414" s="0" t="s">
        <v>31</v>
      </c>
      <c r="D414" s="15" t="n">
        <v>7100</v>
      </c>
      <c r="E414" s="15" t="n">
        <v>6517</v>
      </c>
      <c r="F414" s="15" t="n">
        <v>7008</v>
      </c>
      <c r="G414" s="15" t="n">
        <v>7077</v>
      </c>
      <c r="H414" s="15" t="n">
        <v>6843</v>
      </c>
      <c r="I414" s="15" t="n">
        <v>3302</v>
      </c>
      <c r="J414" s="15" t="n">
        <v>2884</v>
      </c>
      <c r="K414" s="15" t="n">
        <v>3157</v>
      </c>
      <c r="L414" s="15" t="n">
        <v>3319</v>
      </c>
      <c r="M414" s="15" t="n">
        <v>3261</v>
      </c>
      <c r="N414" s="16" t="n">
        <v>0.0375566272102879</v>
      </c>
      <c r="O414" s="16" t="n">
        <v>0.0125728304201165</v>
      </c>
      <c r="P414" s="16" t="n">
        <v>0.0894583397268682</v>
      </c>
      <c r="Q414" s="16" t="n">
        <v>-0.0700627853881278</v>
      </c>
      <c r="R414" s="16" t="n">
        <v>-0.00974989402289106</v>
      </c>
      <c r="S414" s="16" t="n">
        <v>0.0341955282770714</v>
      </c>
      <c r="V414" s="17" t="s">
        <v>43</v>
      </c>
      <c r="W414" s="18" t="n">
        <v>304.33</v>
      </c>
      <c r="X414" s="18" t="n">
        <v>238.32</v>
      </c>
      <c r="Y414" s="16" t="n">
        <f aca="false">IF(AND(ISNUMBER(W414),ISNUMBER(X414)),X414/W414-1,"")</f>
        <v>-0.216902704301252</v>
      </c>
      <c r="Z414" s="16" t="n">
        <v>-0.196760781640247</v>
      </c>
      <c r="AA414" s="16" t="n">
        <v>0.054391371340524</v>
      </c>
      <c r="AB414" s="19" t="s">
        <v>35</v>
      </c>
      <c r="AC414" s="16" t="n">
        <f aca="false">IF(AND(ISNUMBER(N414),ISNUMBER(AA414)),N414-AA414,"")</f>
        <v>-0.0168347441302361</v>
      </c>
    </row>
    <row r="415" customFormat="false" ht="15" hidden="false" customHeight="false" outlineLevel="0" collapsed="false">
      <c r="A415" s="0" t="s">
        <v>1038</v>
      </c>
      <c r="B415" s="0" t="s">
        <v>1039</v>
      </c>
      <c r="C415" s="0" t="s">
        <v>31</v>
      </c>
      <c r="D415" s="15" t="n">
        <v>5714</v>
      </c>
      <c r="E415" s="15" t="n">
        <v>5402</v>
      </c>
      <c r="F415" s="15" t="n">
        <v>5657</v>
      </c>
      <c r="G415" s="15" t="n">
        <v>5600</v>
      </c>
      <c r="H415" s="15" t="n">
        <v>5510</v>
      </c>
      <c r="I415" s="15" t="n">
        <v>683</v>
      </c>
      <c r="J415" s="15" t="n">
        <v>679</v>
      </c>
      <c r="K415" s="15" t="n">
        <v>829</v>
      </c>
      <c r="L415" s="15" t="n">
        <v>748</v>
      </c>
      <c r="M415" s="15" t="n">
        <v>727</v>
      </c>
      <c r="N415" s="16" t="n">
        <v>0.0370235934664247</v>
      </c>
      <c r="O415" s="16" t="n">
        <v>-0.0605226960110041</v>
      </c>
      <c r="P415" s="16" t="n">
        <v>0.0577563865235098</v>
      </c>
      <c r="Q415" s="16" t="n">
        <v>-0.0450768958812091</v>
      </c>
      <c r="R415" s="16" t="n">
        <v>0.0101785714285714</v>
      </c>
      <c r="S415" s="16" t="n">
        <v>0.0163339382940109</v>
      </c>
      <c r="V415" s="17" t="s">
        <v>80</v>
      </c>
      <c r="W415" s="18" t="n">
        <v>24.44</v>
      </c>
      <c r="X415" s="18" t="n">
        <v>33.01</v>
      </c>
      <c r="Y415" s="16" t="n">
        <f aca="false">IF(AND(ISNUMBER(W415),ISNUMBER(X415)),X415/W415-1,"")</f>
        <v>0.350654664484452</v>
      </c>
      <c r="Z415" s="16" t="n">
        <v>0.378002765600654</v>
      </c>
      <c r="AA415" s="16" t="n">
        <v>-0.0553745928338763</v>
      </c>
      <c r="AC415" s="16" t="n">
        <f aca="false">IF(AND(ISNUMBER(N415),ISNUMBER(AA415)),N415-AA415,"")</f>
        <v>0.0923981863003009</v>
      </c>
    </row>
    <row r="416" customFormat="false" ht="15" hidden="false" customHeight="false" outlineLevel="0" collapsed="false">
      <c r="A416" s="0" t="s">
        <v>1040</v>
      </c>
      <c r="B416" s="0" t="s">
        <v>1041</v>
      </c>
      <c r="C416" s="0" t="s">
        <v>38</v>
      </c>
      <c r="D416" s="15" t="n">
        <v>9779</v>
      </c>
      <c r="E416" s="15" t="n">
        <v>8936</v>
      </c>
      <c r="F416" s="15" t="n">
        <v>13814</v>
      </c>
      <c r="G416" s="15" t="n">
        <v>9672</v>
      </c>
      <c r="H416" s="15" t="n">
        <v>9438</v>
      </c>
      <c r="I416" s="15" t="n">
        <v>415</v>
      </c>
      <c r="J416" s="15" t="n">
        <v>361</v>
      </c>
      <c r="K416" s="15" t="n">
        <v>693</v>
      </c>
      <c r="L416" s="15" t="n">
        <v>364</v>
      </c>
      <c r="M416" s="15" t="n">
        <v>365</v>
      </c>
      <c r="N416" s="16" t="n">
        <v>0.0361305361305362</v>
      </c>
      <c r="O416" s="16" t="n">
        <v>0.136986301369863</v>
      </c>
      <c r="P416" s="16" t="n">
        <v>0.0943375111906895</v>
      </c>
      <c r="Q416" s="16" t="n">
        <v>-0.353120023164905</v>
      </c>
      <c r="R416" s="16" t="n">
        <v>0.428246484698098</v>
      </c>
      <c r="S416" s="16" t="n">
        <v>0.024793388429752</v>
      </c>
      <c r="V416" s="17" t="s">
        <v>43</v>
      </c>
      <c r="W416" s="18" t="n">
        <v>74.17</v>
      </c>
      <c r="X416" s="18" t="n">
        <v>90.8</v>
      </c>
      <c r="Y416" s="16" t="n">
        <f aca="false">IF(AND(ISNUMBER(W416),ISNUMBER(X416)),X416/W416-1,"")</f>
        <v>0.22421464203856</v>
      </c>
      <c r="Z416" s="16" t="n">
        <v>0.289413899424239</v>
      </c>
      <c r="AA416" s="16" t="n">
        <v>0.0161498708010337</v>
      </c>
      <c r="AC416" s="16" t="n">
        <f aca="false">IF(AND(ISNUMBER(N416),ISNUMBER(AA416)),N416-AA416,"")</f>
        <v>0.0199806653295025</v>
      </c>
    </row>
    <row r="417" customFormat="false" ht="15" hidden="false" customHeight="false" outlineLevel="0" collapsed="false">
      <c r="A417" s="0" t="s">
        <v>1042</v>
      </c>
      <c r="B417" s="0" t="s">
        <v>1043</v>
      </c>
      <c r="C417" s="0" t="s">
        <v>31</v>
      </c>
      <c r="D417" s="15" t="n">
        <v>4635</v>
      </c>
      <c r="E417" s="15" t="n">
        <v>4500</v>
      </c>
      <c r="F417" s="15" t="n">
        <v>4661</v>
      </c>
      <c r="G417" s="15" t="n">
        <v>4603</v>
      </c>
      <c r="H417" s="15" t="n">
        <v>4474</v>
      </c>
      <c r="N417" s="16" t="n">
        <v>0.0359856951274027</v>
      </c>
      <c r="P417" s="16" t="n">
        <v>0.03</v>
      </c>
      <c r="Q417" s="16" t="n">
        <v>-0.0345419437888865</v>
      </c>
      <c r="R417" s="16" t="n">
        <v>0.0126004779491635</v>
      </c>
      <c r="S417" s="16" t="n">
        <v>0.0288332588287885</v>
      </c>
      <c r="V417" s="17" t="s">
        <v>51</v>
      </c>
      <c r="W417" s="18" t="n">
        <v>99.26</v>
      </c>
      <c r="X417" s="18" t="n">
        <v>105.04</v>
      </c>
      <c r="Y417" s="16" t="n">
        <f aca="false">IF(AND(ISNUMBER(W417),ISNUMBER(X417)),X417/W417-1,"")</f>
        <v>0.0582309087245618</v>
      </c>
      <c r="Z417" s="16" t="n">
        <v>0.0606656588863375</v>
      </c>
      <c r="AA417" s="16" t="n">
        <v>0.067494726974455</v>
      </c>
      <c r="AC417" s="16" t="n">
        <f aca="false">IF(AND(ISNUMBER(N417),ISNUMBER(AA417)),N417-AA417,"")</f>
        <v>-0.0315090318470523</v>
      </c>
    </row>
    <row r="418" customFormat="false" ht="15" hidden="false" customHeight="false" outlineLevel="0" collapsed="false">
      <c r="A418" s="0" t="s">
        <v>1044</v>
      </c>
      <c r="B418" s="0" t="s">
        <v>1045</v>
      </c>
      <c r="C418" s="0" t="s">
        <v>31</v>
      </c>
      <c r="D418" s="15" t="n">
        <v>1640</v>
      </c>
      <c r="E418" s="15" t="n">
        <v>1645</v>
      </c>
      <c r="F418" s="15" t="n">
        <v>1603</v>
      </c>
      <c r="G418" s="15" t="n">
        <v>1331</v>
      </c>
      <c r="H418" s="15" t="n">
        <v>1586</v>
      </c>
      <c r="I418" s="15" t="n">
        <v>293</v>
      </c>
      <c r="J418" s="15" t="n">
        <v>312</v>
      </c>
      <c r="K418" s="15" t="n">
        <v>192</v>
      </c>
      <c r="L418" s="15" t="n">
        <v>96</v>
      </c>
      <c r="M418" s="15" t="n">
        <v>268</v>
      </c>
      <c r="N418" s="16" t="n">
        <v>0.034047919293821</v>
      </c>
      <c r="O418" s="16" t="n">
        <v>0.0932835820895523</v>
      </c>
      <c r="P418" s="16" t="n">
        <v>-0.00303951367781152</v>
      </c>
      <c r="Q418" s="16" t="n">
        <v>0.0262008733624455</v>
      </c>
      <c r="R418" s="16" t="n">
        <v>0.204357625845229</v>
      </c>
      <c r="S418" s="16" t="n">
        <v>-0.16078184110971</v>
      </c>
      <c r="V418" s="17" t="s">
        <v>535</v>
      </c>
      <c r="W418" s="18" t="n">
        <v>17.37</v>
      </c>
      <c r="X418" s="18" t="n">
        <v>22.15</v>
      </c>
      <c r="Y418" s="16" t="n">
        <f aca="false">IF(AND(ISNUMBER(W418),ISNUMBER(X418)),X418/W418-1,"")</f>
        <v>0.275187104202648</v>
      </c>
      <c r="Z418" s="16" t="n">
        <v>0.380128771844799</v>
      </c>
      <c r="AA418" s="16" t="n">
        <v>0.0818553888130968</v>
      </c>
      <c r="AC418" s="16" t="n">
        <f aca="false">IF(AND(ISNUMBER(N418),ISNUMBER(AA418)),N418-AA418,"")</f>
        <v>-0.0478074695192758</v>
      </c>
    </row>
    <row r="419" customFormat="false" ht="15" hidden="false" customHeight="false" outlineLevel="0" collapsed="false">
      <c r="A419" s="0" t="s">
        <v>1046</v>
      </c>
      <c r="B419" s="0" t="s">
        <v>1047</v>
      </c>
      <c r="C419" s="0" t="s">
        <v>31</v>
      </c>
      <c r="D419" s="15" t="n">
        <v>895.699</v>
      </c>
      <c r="E419" s="15" t="n">
        <v>872.148</v>
      </c>
      <c r="F419" s="15" t="n">
        <v>877.097</v>
      </c>
      <c r="G419" s="15" t="n">
        <v>871.51</v>
      </c>
      <c r="H419" s="15" t="n">
        <v>868.457</v>
      </c>
      <c r="I419" s="15" t="n">
        <v>258.867</v>
      </c>
      <c r="J419" s="15" t="n">
        <v>227.906</v>
      </c>
      <c r="K419" s="15" t="n">
        <v>254.588</v>
      </c>
      <c r="L419" s="15" t="n">
        <v>253.99</v>
      </c>
      <c r="M419" s="15" t="n">
        <v>256.591</v>
      </c>
      <c r="N419" s="16" t="n">
        <v>0.0313682773010062</v>
      </c>
      <c r="O419" s="16" t="n">
        <v>0.00887014743307435</v>
      </c>
      <c r="P419" s="16" t="n">
        <v>0.0270034443695335</v>
      </c>
      <c r="Q419" s="16" t="n">
        <v>-0.00564247739987711</v>
      </c>
      <c r="R419" s="16" t="n">
        <v>0.00641071244162439</v>
      </c>
      <c r="S419" s="16" t="n">
        <v>0.00351543024006951</v>
      </c>
      <c r="V419" s="17" t="s">
        <v>535</v>
      </c>
      <c r="W419" s="18" t="n">
        <v>75.46</v>
      </c>
      <c r="X419" s="18" t="n">
        <v>62.36</v>
      </c>
      <c r="Y419" s="16" t="n">
        <f aca="false">IF(AND(ISNUMBER(W419),ISNUMBER(X419)),X419/W419-1,"")</f>
        <v>-0.173601908295786</v>
      </c>
      <c r="Z419" s="16" t="n">
        <v>-0.13679137083907</v>
      </c>
      <c r="AA419" s="16" t="n">
        <v>0.0211350739933356</v>
      </c>
      <c r="AC419" s="16" t="n">
        <f aca="false">IF(AND(ISNUMBER(N419),ISNUMBER(AA419)),N419-AA419,"")</f>
        <v>0.0102332033076706</v>
      </c>
    </row>
    <row r="420" customFormat="false" ht="15" hidden="false" customHeight="false" outlineLevel="0" collapsed="false">
      <c r="A420" s="0" t="s">
        <v>1048</v>
      </c>
      <c r="B420" s="0" t="s">
        <v>1049</v>
      </c>
      <c r="C420" s="0" t="s">
        <v>31</v>
      </c>
      <c r="D420" s="15" t="n">
        <v>3955</v>
      </c>
      <c r="E420" s="15" t="n">
        <v>3909</v>
      </c>
      <c r="F420" s="15" t="n">
        <v>3780</v>
      </c>
      <c r="G420" s="15" t="n">
        <v>3764</v>
      </c>
      <c r="H420" s="15" t="n">
        <v>3839</v>
      </c>
      <c r="I420" s="15" t="n">
        <v>758</v>
      </c>
      <c r="J420" s="15" t="n">
        <v>838</v>
      </c>
      <c r="K420" s="15" t="n">
        <v>632</v>
      </c>
      <c r="L420" s="15" t="n">
        <v>713</v>
      </c>
      <c r="M420" s="15" t="n">
        <v>752</v>
      </c>
      <c r="N420" s="16" t="n">
        <v>0.0302162021359729</v>
      </c>
      <c r="O420" s="16" t="n">
        <v>0.00797872340425543</v>
      </c>
      <c r="P420" s="16" t="n">
        <v>0.0117677155282681</v>
      </c>
      <c r="Q420" s="16" t="n">
        <v>0.0341269841269842</v>
      </c>
      <c r="R420" s="16" t="n">
        <v>0.00425079702444209</v>
      </c>
      <c r="S420" s="16" t="n">
        <v>-0.0195363375879135</v>
      </c>
      <c r="V420" s="17" t="s">
        <v>84</v>
      </c>
      <c r="W420" s="18" t="n">
        <v>16.86</v>
      </c>
      <c r="X420" s="18" t="n">
        <v>17.67</v>
      </c>
      <c r="Y420" s="16" t="n">
        <f aca="false">IF(AND(ISNUMBER(W420),ISNUMBER(X420)),X420/W420-1,"")</f>
        <v>0.0480427046263348</v>
      </c>
      <c r="Z420" s="16" t="n">
        <v>0.111582541177238</v>
      </c>
      <c r="AA420" s="16" t="n">
        <v>-0.04025</v>
      </c>
      <c r="AC420" s="16" t="n">
        <f aca="false">IF(AND(ISNUMBER(N420),ISNUMBER(AA420)),N420-AA420,"")</f>
        <v>0.0704662021359729</v>
      </c>
    </row>
    <row r="421" customFormat="false" ht="15" hidden="false" customHeight="false" outlineLevel="0" collapsed="false">
      <c r="A421" s="0" t="s">
        <v>1050</v>
      </c>
      <c r="B421" s="0" t="s">
        <v>1051</v>
      </c>
      <c r="C421" s="0" t="s">
        <v>31</v>
      </c>
      <c r="D421" s="15" t="n">
        <v>3827</v>
      </c>
      <c r="E421" s="15" t="n">
        <v>3695</v>
      </c>
      <c r="F421" s="15" t="n">
        <v>4175</v>
      </c>
      <c r="G421" s="15" t="n">
        <v>3602</v>
      </c>
      <c r="H421" s="15" t="n">
        <v>3716</v>
      </c>
      <c r="I421" s="15" t="n">
        <v>267</v>
      </c>
      <c r="J421" s="15" t="n">
        <v>231</v>
      </c>
      <c r="K421" s="15" t="n">
        <v>249</v>
      </c>
      <c r="L421" s="15" t="n">
        <v>279</v>
      </c>
      <c r="M421" s="15" t="n">
        <v>269</v>
      </c>
      <c r="N421" s="16" t="n">
        <v>0.0298708288482239</v>
      </c>
      <c r="O421" s="16" t="n">
        <v>-0.00743494423791824</v>
      </c>
      <c r="P421" s="16" t="n">
        <v>0.035723951285521</v>
      </c>
      <c r="Q421" s="16" t="n">
        <v>-0.11497005988024</v>
      </c>
      <c r="R421" s="16" t="n">
        <v>0.159078289838978</v>
      </c>
      <c r="S421" s="16" t="n">
        <v>-0.0306781485468245</v>
      </c>
      <c r="V421" s="17" t="s">
        <v>47</v>
      </c>
      <c r="W421" s="18" t="n">
        <v>82.76</v>
      </c>
      <c r="X421" s="18" t="n">
        <v>76.81</v>
      </c>
      <c r="Y421" s="16" t="n">
        <f aca="false">IF(AND(ISNUMBER(W421),ISNUMBER(X421)),X421/W421-1,"")</f>
        <v>-0.0718946350894152</v>
      </c>
      <c r="Z421" s="16" t="n">
        <v>-0.0710452498708201</v>
      </c>
      <c r="AA421" s="16" t="n">
        <v>0.0535866175219733</v>
      </c>
      <c r="AB421" s="19" t="s">
        <v>35</v>
      </c>
      <c r="AC421" s="16" t="n">
        <f aca="false">IF(AND(ISNUMBER(N421),ISNUMBER(AA421)),N421-AA421,"")</f>
        <v>-0.0237157886737494</v>
      </c>
    </row>
    <row r="422" customFormat="false" ht="15" hidden="false" customHeight="false" outlineLevel="0" collapsed="false">
      <c r="A422" s="0" t="s">
        <v>1052</v>
      </c>
      <c r="B422" s="0" t="s">
        <v>1053</v>
      </c>
      <c r="C422" s="0" t="s">
        <v>31</v>
      </c>
      <c r="D422" s="15" t="n">
        <v>3714.145</v>
      </c>
      <c r="E422" s="15" t="n">
        <v>3707.345</v>
      </c>
      <c r="F422" s="15" t="n">
        <v>3716.172</v>
      </c>
      <c r="G422" s="15" t="n">
        <v>3780.245</v>
      </c>
      <c r="H422" s="15" t="n">
        <v>3615.412</v>
      </c>
      <c r="N422" s="16" t="n">
        <v>0.0273089208090254</v>
      </c>
      <c r="P422" s="16" t="n">
        <v>0.00183419670950502</v>
      </c>
      <c r="Q422" s="16" t="n">
        <v>-0.00237529371622192</v>
      </c>
      <c r="R422" s="16" t="n">
        <v>-0.0169494305263284</v>
      </c>
      <c r="S422" s="16" t="n">
        <v>0.0455917610496397</v>
      </c>
      <c r="V422" s="17" t="s">
        <v>51</v>
      </c>
      <c r="W422" s="18" t="n">
        <v>74.81</v>
      </c>
      <c r="X422" s="18" t="n">
        <v>67.67</v>
      </c>
      <c r="Y422" s="16" t="n">
        <f aca="false">IF(AND(ISNUMBER(W422),ISNUMBER(X422)),X422/W422-1,"")</f>
        <v>-0.0954417858575057</v>
      </c>
      <c r="Z422" s="16" t="n">
        <v>-0.0702023466020919</v>
      </c>
      <c r="AA422" s="16" t="n">
        <v>0.107656172300086</v>
      </c>
      <c r="AC422" s="16" t="n">
        <f aca="false">IF(AND(ISNUMBER(N422),ISNUMBER(AA422)),N422-AA422,"")</f>
        <v>-0.080347251491061</v>
      </c>
    </row>
    <row r="423" customFormat="false" ht="15" hidden="false" customHeight="false" outlineLevel="0" collapsed="false">
      <c r="A423" s="0" t="s">
        <v>1054</v>
      </c>
      <c r="B423" s="0" t="s">
        <v>1055</v>
      </c>
      <c r="C423" s="0" t="s">
        <v>31</v>
      </c>
      <c r="D423" s="15" t="n">
        <v>1232.881</v>
      </c>
      <c r="E423" s="15" t="n">
        <v>1217.741</v>
      </c>
      <c r="F423" s="15" t="n">
        <v>1215.792</v>
      </c>
      <c r="G423" s="15" t="n">
        <v>1224.043</v>
      </c>
      <c r="H423" s="15" t="n">
        <v>1201.094</v>
      </c>
      <c r="I423" s="15" t="n">
        <v>556.649</v>
      </c>
      <c r="J423" s="15" t="n">
        <v>556.724</v>
      </c>
      <c r="K423" s="15" t="n">
        <v>565.683</v>
      </c>
      <c r="L423" s="15" t="n">
        <v>575.422</v>
      </c>
      <c r="M423" s="15" t="n">
        <v>574.146</v>
      </c>
      <c r="N423" s="16" t="n">
        <v>0.0264650393724388</v>
      </c>
      <c r="O423" s="16" t="n">
        <v>-0.0304748269603898</v>
      </c>
      <c r="P423" s="16" t="n">
        <v>0.0124328572331884</v>
      </c>
      <c r="Q423" s="16" t="n">
        <v>0.00160307026201845</v>
      </c>
      <c r="R423" s="16" t="n">
        <v>-0.00674077626357894</v>
      </c>
      <c r="S423" s="16" t="n">
        <v>0.0191067476816969</v>
      </c>
      <c r="V423" s="17" t="s">
        <v>535</v>
      </c>
      <c r="W423" s="18" t="n">
        <v>280.71</v>
      </c>
      <c r="X423" s="18" t="n">
        <v>286.73</v>
      </c>
      <c r="Y423" s="16" t="n">
        <f aca="false">IF(AND(ISNUMBER(W423),ISNUMBER(X423)),X423/W423-1,"")</f>
        <v>0.0214456200349116</v>
      </c>
      <c r="Z423" s="16" t="n">
        <v>0.0637190846705342</v>
      </c>
      <c r="AA423" s="16" t="n">
        <v>0.0237663983716485</v>
      </c>
      <c r="AC423" s="16" t="n">
        <f aca="false">IF(AND(ISNUMBER(N423),ISNUMBER(AA423)),N423-AA423,"")</f>
        <v>0.00269864100079032</v>
      </c>
    </row>
    <row r="424" customFormat="false" ht="15" hidden="false" customHeight="false" outlineLevel="0" collapsed="false">
      <c r="A424" s="0" t="s">
        <v>1056</v>
      </c>
      <c r="B424" s="0" t="s">
        <v>1057</v>
      </c>
      <c r="C424" s="0" t="s">
        <v>31</v>
      </c>
      <c r="D424" s="15" t="n">
        <v>2062.1</v>
      </c>
      <c r="E424" s="15" t="n">
        <v>3434.2</v>
      </c>
      <c r="F424" s="15" t="n">
        <v>2537.1</v>
      </c>
      <c r="G424" s="15" t="n">
        <v>2104</v>
      </c>
      <c r="H424" s="15" t="n">
        <v>2009.5</v>
      </c>
      <c r="I424" s="15" t="n">
        <v>432.8</v>
      </c>
      <c r="J424" s="15" t="n">
        <v>980</v>
      </c>
      <c r="K424" s="15" t="n">
        <v>582.9</v>
      </c>
      <c r="L424" s="15" t="n">
        <v>449.6</v>
      </c>
      <c r="M424" s="15" t="n">
        <v>404.9</v>
      </c>
      <c r="N424" s="16" t="n">
        <v>0.0261756655884549</v>
      </c>
      <c r="O424" s="16" t="n">
        <v>0.0689059026920227</v>
      </c>
      <c r="P424" s="16" t="n">
        <v>-0.399539921961447</v>
      </c>
      <c r="Q424" s="16" t="n">
        <v>0.353592684561113</v>
      </c>
      <c r="R424" s="16" t="n">
        <v>0.205846007604563</v>
      </c>
      <c r="S424" s="16" t="n">
        <v>0.0470266235381935</v>
      </c>
      <c r="V424" s="17" t="s">
        <v>134</v>
      </c>
      <c r="W424" s="18" t="n">
        <v>112.02</v>
      </c>
      <c r="X424" s="18" t="n">
        <v>101.17</v>
      </c>
      <c r="Y424" s="16" t="n">
        <f aca="false">IF(AND(ISNUMBER(W424),ISNUMBER(X424)),X424/W424-1,"")</f>
        <v>-0.0968577039814318</v>
      </c>
      <c r="Z424" s="16" t="n">
        <v>-0.0659724817123855</v>
      </c>
      <c r="AA424" s="16" t="n">
        <v>0.134029345372461</v>
      </c>
      <c r="AC424" s="16" t="n">
        <f aca="false">IF(AND(ISNUMBER(N424),ISNUMBER(AA424)),N424-AA424,"")</f>
        <v>-0.107853679784006</v>
      </c>
    </row>
    <row r="425" customFormat="false" ht="15" hidden="false" customHeight="false" outlineLevel="0" collapsed="false">
      <c r="A425" s="0" t="s">
        <v>1058</v>
      </c>
      <c r="B425" s="0" t="s">
        <v>1059</v>
      </c>
      <c r="C425" s="0" t="s">
        <v>31</v>
      </c>
      <c r="D425" s="15" t="n">
        <v>15034</v>
      </c>
      <c r="E425" s="15" t="n">
        <v>14450</v>
      </c>
      <c r="F425" s="15" t="n">
        <v>17557</v>
      </c>
      <c r="G425" s="15" t="n">
        <v>16654</v>
      </c>
      <c r="H425" s="15" t="n">
        <v>14653</v>
      </c>
      <c r="I425" s="15" t="n">
        <v>3537</v>
      </c>
      <c r="J425" s="15" t="n">
        <v>4268</v>
      </c>
      <c r="K425" s="15" t="n">
        <v>3687</v>
      </c>
      <c r="L425" s="15" t="n">
        <v>5527</v>
      </c>
      <c r="M425" s="15" t="n">
        <v>3767</v>
      </c>
      <c r="N425" s="16" t="n">
        <v>0.0260015013990309</v>
      </c>
      <c r="O425" s="16" t="n">
        <v>-0.0610565436687018</v>
      </c>
      <c r="P425" s="16" t="n">
        <v>0.0404152249134948</v>
      </c>
      <c r="Q425" s="16" t="n">
        <v>-0.176966452127357</v>
      </c>
      <c r="R425" s="16" t="n">
        <v>0.0542212081181699</v>
      </c>
      <c r="S425" s="16" t="n">
        <v>0.136559066402785</v>
      </c>
      <c r="V425" s="17" t="s">
        <v>147</v>
      </c>
      <c r="W425" s="18" t="n">
        <v>24.09</v>
      </c>
      <c r="X425" s="18" t="n">
        <v>28.18</v>
      </c>
      <c r="Y425" s="16" t="n">
        <f aca="false">IF(AND(ISNUMBER(W425),ISNUMBER(X425)),X425/W425-1,"")</f>
        <v>0.1697799916978</v>
      </c>
      <c r="Z425" s="16" t="n">
        <v>0.251819210579026</v>
      </c>
      <c r="AA425" s="16" t="n">
        <v>0.103139351050215</v>
      </c>
      <c r="AC425" s="16" t="n">
        <f aca="false">IF(AND(ISNUMBER(N425),ISNUMBER(AA425)),N425-AA425,"")</f>
        <v>-0.0771378496511836</v>
      </c>
    </row>
    <row r="426" customFormat="false" ht="15" hidden="false" customHeight="false" outlineLevel="0" collapsed="false">
      <c r="A426" s="0" t="s">
        <v>1060</v>
      </c>
      <c r="B426" s="0" t="s">
        <v>1061</v>
      </c>
      <c r="C426" s="0" t="s">
        <v>31</v>
      </c>
      <c r="D426" s="15" t="n">
        <v>6500</v>
      </c>
      <c r="E426" s="15" t="n">
        <v>6030</v>
      </c>
      <c r="F426" s="15" t="n">
        <v>6133</v>
      </c>
      <c r="G426" s="15" t="n">
        <v>6517</v>
      </c>
      <c r="H426" s="15" t="n">
        <v>6344</v>
      </c>
      <c r="I426" s="15" t="n">
        <v>1320</v>
      </c>
      <c r="J426" s="15" t="n">
        <v>1404</v>
      </c>
      <c r="K426" s="15" t="n">
        <v>794</v>
      </c>
      <c r="L426" s="15" t="n">
        <v>1608</v>
      </c>
      <c r="M426" s="15" t="n">
        <v>1143</v>
      </c>
      <c r="N426" s="16" t="n">
        <v>0.0245901639344262</v>
      </c>
      <c r="O426" s="16" t="n">
        <v>0.15485564304462</v>
      </c>
      <c r="P426" s="16" t="n">
        <v>0.0779436152570481</v>
      </c>
      <c r="Q426" s="16" t="n">
        <v>-0.0167943909995109</v>
      </c>
      <c r="R426" s="16" t="n">
        <v>-0.0589228172471996</v>
      </c>
      <c r="S426" s="16" t="n">
        <v>0.0272698612862548</v>
      </c>
      <c r="V426" s="17" t="s">
        <v>47</v>
      </c>
      <c r="W426" s="18" t="n">
        <v>154.6</v>
      </c>
      <c r="X426" s="18" t="n">
        <v>170.3</v>
      </c>
      <c r="Y426" s="16" t="n">
        <f aca="false">IF(AND(ISNUMBER(W426),ISNUMBER(X426)),X426/W426-1,"")</f>
        <v>0.101552393272963</v>
      </c>
      <c r="Z426" s="16" t="n">
        <v>0.121886555452198</v>
      </c>
      <c r="AA426" s="16" t="n">
        <v>0.0142286171063148</v>
      </c>
      <c r="AC426" s="16" t="n">
        <f aca="false">IF(AND(ISNUMBER(N426),ISNUMBER(AA426)),N426-AA426,"")</f>
        <v>0.0103615468281113</v>
      </c>
    </row>
    <row r="427" customFormat="false" ht="15" hidden="false" customHeight="false" outlineLevel="0" collapsed="false">
      <c r="A427" s="0" t="s">
        <v>1062</v>
      </c>
      <c r="B427" s="0" t="s">
        <v>1063</v>
      </c>
      <c r="C427" s="0" t="s">
        <v>31</v>
      </c>
      <c r="D427" s="15" t="n">
        <v>3274</v>
      </c>
      <c r="E427" s="15" t="n">
        <v>5086</v>
      </c>
      <c r="F427" s="15" t="n">
        <v>5153</v>
      </c>
      <c r="G427" s="15" t="n">
        <v>5212</v>
      </c>
      <c r="H427" s="15" t="n">
        <v>3199</v>
      </c>
      <c r="I427" s="15" t="n">
        <v>391</v>
      </c>
      <c r="J427" s="15" t="n">
        <v>440</v>
      </c>
      <c r="K427" s="15" t="n">
        <v>461</v>
      </c>
      <c r="L427" s="15" t="n">
        <v>533</v>
      </c>
      <c r="M427" s="15" t="n">
        <v>352</v>
      </c>
      <c r="N427" s="16" t="n">
        <v>0.0234448265082838</v>
      </c>
      <c r="O427" s="16" t="n">
        <v>0.110795454545455</v>
      </c>
      <c r="P427" s="16" t="n">
        <v>-0.356272119543846</v>
      </c>
      <c r="Q427" s="16" t="n">
        <v>-0.0130021346788278</v>
      </c>
      <c r="R427" s="16" t="n">
        <v>-0.0113200306983884</v>
      </c>
      <c r="S427" s="16" t="n">
        <v>0.629259143482338</v>
      </c>
      <c r="V427" s="17" t="s">
        <v>43</v>
      </c>
      <c r="W427" s="18" t="n">
        <v>85.04</v>
      </c>
      <c r="X427" s="18" t="n">
        <v>45.17</v>
      </c>
      <c r="Y427" s="16" t="n">
        <f aca="false">IF(AND(ISNUMBER(W427),ISNUMBER(X427)),X427/W427-1,"")</f>
        <v>-0.468838193791157</v>
      </c>
      <c r="Z427" s="16" t="n">
        <v>-0.468838221041249</v>
      </c>
      <c r="AA427" s="16" t="n">
        <v>0.0310829538705206</v>
      </c>
      <c r="AC427" s="16" t="n">
        <f aca="false">IF(AND(ISNUMBER(N427),ISNUMBER(AA427)),N427-AA427,"")</f>
        <v>-0.00763812736223679</v>
      </c>
    </row>
    <row r="428" customFormat="false" ht="15" hidden="false" customHeight="false" outlineLevel="0" collapsed="false">
      <c r="A428" s="0" t="s">
        <v>1064</v>
      </c>
      <c r="B428" s="0" t="s">
        <v>1065</v>
      </c>
      <c r="C428" s="0" t="s">
        <v>31</v>
      </c>
      <c r="D428" s="15" t="n">
        <v>715.274</v>
      </c>
      <c r="E428" s="15" t="n">
        <v>703.438</v>
      </c>
      <c r="F428" s="15" t="n">
        <v>719.583</v>
      </c>
      <c r="G428" s="15" t="n">
        <v>732.327</v>
      </c>
      <c r="H428" s="15" t="n">
        <v>698.981</v>
      </c>
      <c r="I428" s="15" t="n">
        <v>380.353</v>
      </c>
      <c r="J428" s="15" t="n">
        <v>380.238</v>
      </c>
      <c r="K428" s="15" t="n">
        <v>389.41</v>
      </c>
      <c r="L428" s="15" t="n">
        <v>399.647</v>
      </c>
      <c r="M428" s="15" t="n">
        <v>385.899</v>
      </c>
      <c r="N428" s="16" t="n">
        <v>0.0233096464710771</v>
      </c>
      <c r="O428" s="16" t="n">
        <v>-0.0143716361016743</v>
      </c>
      <c r="P428" s="16" t="n">
        <v>0.0168259320650861</v>
      </c>
      <c r="Q428" s="16" t="n">
        <v>-0.022436605645214</v>
      </c>
      <c r="R428" s="16" t="n">
        <v>-0.0174020621935284</v>
      </c>
      <c r="S428" s="16" t="n">
        <v>0.0477065900217601</v>
      </c>
      <c r="V428" s="17" t="s">
        <v>535</v>
      </c>
      <c r="W428" s="18" t="n">
        <v>195.23</v>
      </c>
      <c r="X428" s="18" t="n">
        <v>170.53</v>
      </c>
      <c r="Y428" s="16" t="n">
        <f aca="false">IF(AND(ISNUMBER(W428),ISNUMBER(X428)),X428/W428-1,"")</f>
        <v>-0.126517440967064</v>
      </c>
      <c r="Z428" s="16" t="n">
        <v>-0.104215859225395</v>
      </c>
      <c r="AA428" s="16" t="n">
        <v>0.0582972609190025</v>
      </c>
      <c r="AC428" s="16" t="n">
        <f aca="false">IF(AND(ISNUMBER(N428),ISNUMBER(AA428)),N428-AA428,"")</f>
        <v>-0.0349876144479253</v>
      </c>
    </row>
    <row r="429" customFormat="false" ht="15" hidden="false" customHeight="false" outlineLevel="0" collapsed="false">
      <c r="A429" s="0" t="s">
        <v>1066</v>
      </c>
      <c r="B429" s="0" t="s">
        <v>1067</v>
      </c>
      <c r="C429" s="0" t="s">
        <v>31</v>
      </c>
      <c r="D429" s="15" t="n">
        <v>777.768</v>
      </c>
      <c r="E429" s="15" t="n">
        <v>770.279</v>
      </c>
      <c r="F429" s="15" t="n">
        <v>767.856</v>
      </c>
      <c r="G429" s="15" t="n">
        <v>766.796</v>
      </c>
      <c r="H429" s="15" t="n">
        <v>760.195</v>
      </c>
      <c r="I429" s="15" t="n">
        <v>231.773</v>
      </c>
      <c r="J429" s="15" t="n">
        <v>226.57</v>
      </c>
      <c r="K429" s="15" t="n">
        <v>230.738</v>
      </c>
      <c r="L429" s="15" t="n">
        <v>221.17</v>
      </c>
      <c r="M429" s="15" t="n">
        <v>228.497</v>
      </c>
      <c r="N429" s="16" t="n">
        <v>0.0231164372299213</v>
      </c>
      <c r="O429" s="16" t="n">
        <v>0.014337168540506</v>
      </c>
      <c r="P429" s="16" t="n">
        <v>0.00972245121572835</v>
      </c>
      <c r="Q429" s="16" t="n">
        <v>0.00315553958033799</v>
      </c>
      <c r="R429" s="16" t="n">
        <v>0.00138237549491649</v>
      </c>
      <c r="S429" s="16" t="n">
        <v>0.00868329836423554</v>
      </c>
      <c r="V429" s="17" t="s">
        <v>535</v>
      </c>
      <c r="W429" s="18" t="n">
        <v>65.16</v>
      </c>
      <c r="X429" s="18" t="n">
        <v>61.29</v>
      </c>
      <c r="Y429" s="16" t="n">
        <f aca="false">IF(AND(ISNUMBER(W429),ISNUMBER(X429)),X429/W429-1,"")</f>
        <v>-0.0593922651933702</v>
      </c>
      <c r="Z429" s="16" t="n">
        <v>-0.0169652180632666</v>
      </c>
      <c r="AA429" s="16"/>
      <c r="AC429" s="16" t="str">
        <f aca="false">IF(AND(ISNUMBER(N429),ISNUMBER(AA429)),N429-AA429,"")</f>
        <v/>
      </c>
    </row>
    <row r="430" customFormat="false" ht="15" hidden="false" customHeight="false" outlineLevel="0" collapsed="false">
      <c r="A430" s="0" t="s">
        <v>1068</v>
      </c>
      <c r="B430" s="0" t="s">
        <v>1069</v>
      </c>
      <c r="C430" s="0" t="s">
        <v>31</v>
      </c>
      <c r="D430" s="15" t="n">
        <v>31558</v>
      </c>
      <c r="E430" s="15" t="n">
        <v>31506</v>
      </c>
      <c r="F430" s="15" t="n">
        <v>33466</v>
      </c>
      <c r="G430" s="15" t="n">
        <v>30709</v>
      </c>
      <c r="H430" s="15" t="n">
        <v>30847</v>
      </c>
      <c r="I430" s="15" t="n">
        <v>7324</v>
      </c>
      <c r="J430" s="15" t="n">
        <v>6658</v>
      </c>
      <c r="K430" s="15" t="n">
        <v>6122</v>
      </c>
      <c r="L430" s="15" t="n">
        <v>6119</v>
      </c>
      <c r="M430" s="15" t="n">
        <v>6501</v>
      </c>
      <c r="N430" s="16" t="n">
        <v>0.023049243038221</v>
      </c>
      <c r="O430" s="16" t="n">
        <v>0.126595908321797</v>
      </c>
      <c r="P430" s="16" t="n">
        <v>0.00165047927378903</v>
      </c>
      <c r="Q430" s="16" t="n">
        <v>-0.0585669037231817</v>
      </c>
      <c r="R430" s="16" t="n">
        <v>0.0897782409065746</v>
      </c>
      <c r="S430" s="16" t="n">
        <v>-0.00447369274159559</v>
      </c>
      <c r="V430" s="17" t="s">
        <v>76</v>
      </c>
      <c r="W430" s="18" t="n">
        <v>28.32</v>
      </c>
      <c r="X430" s="18" t="n">
        <v>25.3</v>
      </c>
      <c r="Y430" s="16" t="n">
        <f aca="false">IF(AND(ISNUMBER(W430),ISNUMBER(X430)),X430/W430-1,"")</f>
        <v>-0.106638418079096</v>
      </c>
      <c r="Z430" s="16" t="n">
        <v>-0.0645119634620112</v>
      </c>
      <c r="AA430" s="16" t="n">
        <v>0.0352384468235056</v>
      </c>
      <c r="AC430" s="16" t="n">
        <f aca="false">IF(AND(ISNUMBER(N430),ISNUMBER(AA430)),N430-AA430,"")</f>
        <v>-0.0121892037852847</v>
      </c>
    </row>
    <row r="431" customFormat="false" ht="15" hidden="false" customHeight="false" outlineLevel="0" collapsed="false">
      <c r="A431" s="0" t="s">
        <v>1070</v>
      </c>
      <c r="B431" s="0" t="s">
        <v>1071</v>
      </c>
      <c r="C431" s="0" t="s">
        <v>31</v>
      </c>
      <c r="D431" s="15" t="n">
        <v>4246</v>
      </c>
      <c r="E431" s="15" t="n">
        <v>5034</v>
      </c>
      <c r="F431" s="15" t="n">
        <v>4300</v>
      </c>
      <c r="G431" s="15" t="n">
        <v>3997</v>
      </c>
      <c r="H431" s="15" t="n">
        <v>4155</v>
      </c>
      <c r="I431" s="15" t="n">
        <v>1011</v>
      </c>
      <c r="J431" s="15" t="n">
        <v>1807</v>
      </c>
      <c r="K431" s="15" t="n">
        <v>1337</v>
      </c>
      <c r="L431" s="15" t="n">
        <v>848</v>
      </c>
      <c r="M431" s="15" t="n">
        <v>953</v>
      </c>
      <c r="N431" s="16" t="n">
        <v>0.0219013237063779</v>
      </c>
      <c r="O431" s="16" t="n">
        <v>0.0608604407135363</v>
      </c>
      <c r="P431" s="16" t="n">
        <v>-0.156535558204211</v>
      </c>
      <c r="Q431" s="16" t="n">
        <v>0.170697674418605</v>
      </c>
      <c r="R431" s="16" t="n">
        <v>0.075806855141356</v>
      </c>
      <c r="S431" s="16" t="n">
        <v>-0.0380264741275571</v>
      </c>
      <c r="V431" s="17" t="s">
        <v>51</v>
      </c>
      <c r="W431" s="18" t="n">
        <v>353.74</v>
      </c>
      <c r="X431" s="18" t="n">
        <v>281.6</v>
      </c>
      <c r="Y431" s="16" t="n">
        <f aca="false">IF(AND(ISNUMBER(W431),ISNUMBER(X431)),X431/W431-1,"")</f>
        <v>-0.20393509357155</v>
      </c>
      <c r="Z431" s="16" t="n">
        <v>-0.200015587936117</v>
      </c>
      <c r="AA431" s="16" t="n">
        <v>0.105053191489362</v>
      </c>
      <c r="AC431" s="16" t="n">
        <f aca="false">IF(AND(ISNUMBER(N431),ISNUMBER(AA431)),N431-AA431,"")</f>
        <v>-0.0831518677829839</v>
      </c>
    </row>
    <row r="432" customFormat="false" ht="15" hidden="false" customHeight="false" outlineLevel="0" collapsed="false">
      <c r="A432" s="0" t="s">
        <v>1072</v>
      </c>
      <c r="B432" s="0" t="s">
        <v>1073</v>
      </c>
      <c r="C432" s="0" t="s">
        <v>38</v>
      </c>
      <c r="D432" s="15" t="n">
        <v>34621</v>
      </c>
      <c r="E432" s="15" t="n">
        <v>46121</v>
      </c>
      <c r="F432" s="15" t="n">
        <v>34725</v>
      </c>
      <c r="G432" s="15" t="n">
        <v>33859</v>
      </c>
      <c r="H432" s="15" t="n">
        <v>33940</v>
      </c>
      <c r="I432" s="15" t="n">
        <v>971</v>
      </c>
      <c r="J432" s="15" t="n">
        <v>1407</v>
      </c>
      <c r="K432" s="15" t="n">
        <v>1246</v>
      </c>
      <c r="L432" s="15" t="n">
        <v>-1541</v>
      </c>
      <c r="M432" s="15" t="n">
        <v>863</v>
      </c>
      <c r="N432" s="16" t="n">
        <v>0.0200648202710665</v>
      </c>
      <c r="O432" s="16" t="n">
        <v>0.125144843568946</v>
      </c>
      <c r="P432" s="16" t="n">
        <v>-0.249344116562954</v>
      </c>
      <c r="Q432" s="16" t="n">
        <v>0.328178545716343</v>
      </c>
      <c r="R432" s="16" t="n">
        <v>0.0255766561327859</v>
      </c>
      <c r="S432" s="16" t="n">
        <v>-0.00238656452563346</v>
      </c>
      <c r="V432" s="17" t="s">
        <v>84</v>
      </c>
      <c r="W432" s="18" t="n">
        <v>65.55</v>
      </c>
      <c r="X432" s="18" t="n">
        <v>57.64</v>
      </c>
      <c r="Y432" s="16" t="n">
        <f aca="false">IF(AND(ISNUMBER(W432),ISNUMBER(X432)),X432/W432-1,"")</f>
        <v>-0.120671243325706</v>
      </c>
      <c r="Z432" s="16" t="n">
        <v>-0.100739346782386</v>
      </c>
      <c r="AA432" s="16" t="n">
        <v>-0.0842866393265702</v>
      </c>
      <c r="AC432" s="16" t="n">
        <f aca="false">IF(AND(ISNUMBER(N432),ISNUMBER(AA432)),N432-AA432,"")</f>
        <v>0.104351459597637</v>
      </c>
    </row>
    <row r="433" customFormat="false" ht="15" hidden="false" customHeight="false" outlineLevel="0" collapsed="false">
      <c r="A433" s="0" t="s">
        <v>1074</v>
      </c>
      <c r="B433" s="0" t="s">
        <v>1075</v>
      </c>
      <c r="C433" s="0" t="s">
        <v>31</v>
      </c>
      <c r="D433" s="15" t="n">
        <v>1533.9</v>
      </c>
      <c r="E433" s="15" t="n">
        <v>1679.8</v>
      </c>
      <c r="F433" s="15" t="n">
        <v>1699</v>
      </c>
      <c r="G433" s="15" t="n">
        <v>1773.8</v>
      </c>
      <c r="H433" s="15" t="n">
        <v>1503.8</v>
      </c>
      <c r="I433" s="15" t="n">
        <v>-35.5</v>
      </c>
      <c r="J433" s="15" t="n">
        <v>10</v>
      </c>
      <c r="K433" s="15" t="n">
        <v>-38.1</v>
      </c>
      <c r="L433" s="15" t="n">
        <v>-97.9</v>
      </c>
      <c r="M433" s="15" t="n">
        <v>21.6</v>
      </c>
      <c r="N433" s="16" t="n">
        <v>0.0200159595690916</v>
      </c>
      <c r="O433" s="20" t="s">
        <v>153</v>
      </c>
      <c r="P433" s="16" t="n">
        <v>-0.0868555780450053</v>
      </c>
      <c r="Q433" s="16" t="n">
        <v>-0.0113007651559741</v>
      </c>
      <c r="R433" s="16" t="n">
        <v>-0.0421693539294171</v>
      </c>
      <c r="S433" s="16" t="n">
        <v>0.179545152280888</v>
      </c>
      <c r="V433" s="17" t="s">
        <v>76</v>
      </c>
      <c r="W433" s="18" t="n">
        <v>244.12</v>
      </c>
      <c r="X433" s="18" t="n">
        <v>206.32</v>
      </c>
      <c r="Y433" s="16" t="n">
        <f aca="false">IF(AND(ISNUMBER(W433),ISNUMBER(X433)),X433/W433-1,"")</f>
        <v>-0.154841881042111</v>
      </c>
      <c r="Z433" s="16" t="n">
        <v>-0.154841834134984</v>
      </c>
      <c r="AA433" s="16" t="n">
        <v>0.123748318636975</v>
      </c>
      <c r="AC433" s="16" t="n">
        <f aca="false">IF(AND(ISNUMBER(N433),ISNUMBER(AA433)),N433-AA433,"")</f>
        <v>-0.103732359067883</v>
      </c>
    </row>
    <row r="434" customFormat="false" ht="15" hidden="false" customHeight="false" outlineLevel="0" collapsed="false">
      <c r="A434" s="0" t="s">
        <v>1076</v>
      </c>
      <c r="B434" s="0" t="s">
        <v>1077</v>
      </c>
      <c r="C434" s="0" t="s">
        <v>31</v>
      </c>
      <c r="D434" s="15" t="n">
        <v>3718</v>
      </c>
      <c r="E434" s="15" t="n">
        <v>3698</v>
      </c>
      <c r="F434" s="15" t="n">
        <v>3793</v>
      </c>
      <c r="G434" s="15" t="n">
        <v>3823</v>
      </c>
      <c r="H434" s="15" t="n">
        <v>3647</v>
      </c>
      <c r="N434" s="16" t="n">
        <v>0.019468055936386</v>
      </c>
      <c r="P434" s="16" t="n">
        <v>0.00540832882639264</v>
      </c>
      <c r="Q434" s="16" t="n">
        <v>-0.0250461376219352</v>
      </c>
      <c r="R434" s="16" t="n">
        <v>-0.00784724038713047</v>
      </c>
      <c r="S434" s="16" t="n">
        <v>0.0482588428845627</v>
      </c>
      <c r="V434" s="17" t="s">
        <v>51</v>
      </c>
      <c r="W434" s="18" t="n">
        <v>74.63</v>
      </c>
      <c r="X434" s="18" t="n">
        <v>70.67</v>
      </c>
      <c r="Y434" s="16" t="n">
        <f aca="false">IF(AND(ISNUMBER(W434),ISNUMBER(X434)),X434/W434-1,"")</f>
        <v>-0.0530617714056009</v>
      </c>
      <c r="Z434" s="16" t="n">
        <v>-0.0372866678528846</v>
      </c>
      <c r="AA434" s="16" t="n">
        <v>0.0258735072976559</v>
      </c>
      <c r="AC434" s="16" t="n">
        <f aca="false">IF(AND(ISNUMBER(N434),ISNUMBER(AA434)),N434-AA434,"")</f>
        <v>-0.00640545136126991</v>
      </c>
    </row>
    <row r="435" customFormat="false" ht="15" hidden="false" customHeight="false" outlineLevel="0" collapsed="false">
      <c r="A435" s="0" t="s">
        <v>1078</v>
      </c>
      <c r="B435" s="0" t="s">
        <v>1079</v>
      </c>
      <c r="C435" s="0" t="s">
        <v>31</v>
      </c>
      <c r="D435" s="15" t="n">
        <v>1954</v>
      </c>
      <c r="E435" s="15" t="n">
        <v>2741</v>
      </c>
      <c r="F435" s="15" t="n">
        <v>2589</v>
      </c>
      <c r="G435" s="15" t="n">
        <v>2694</v>
      </c>
      <c r="H435" s="15" t="n">
        <v>1919</v>
      </c>
      <c r="I435" s="15" t="n">
        <v>164</v>
      </c>
      <c r="J435" s="15" t="n">
        <v>279</v>
      </c>
      <c r="K435" s="15" t="n">
        <v>113</v>
      </c>
      <c r="L435" s="15" t="n">
        <v>242</v>
      </c>
      <c r="M435" s="15" t="n">
        <v>163</v>
      </c>
      <c r="N435" s="16" t="n">
        <v>0.0182386659718603</v>
      </c>
      <c r="O435" s="16" t="n">
        <v>0.00613496932515334</v>
      </c>
      <c r="P435" s="16" t="n">
        <v>-0.287121488507844</v>
      </c>
      <c r="Q435" s="16" t="n">
        <v>0.0587099266125917</v>
      </c>
      <c r="R435" s="16" t="n">
        <v>-0.0389755011135857</v>
      </c>
      <c r="S435" s="16" t="n">
        <v>0.403856175091193</v>
      </c>
      <c r="V435" s="17" t="s">
        <v>104</v>
      </c>
      <c r="W435" s="18" t="n">
        <v>62.54</v>
      </c>
      <c r="X435" s="18" t="n">
        <v>85.71</v>
      </c>
      <c r="Y435" s="16" t="n">
        <f aca="false">IF(AND(ISNUMBER(W435),ISNUMBER(X435)),X435/W435-1,"")</f>
        <v>0.370482890949792</v>
      </c>
      <c r="Z435" s="16" t="n">
        <v>0.410283252220966</v>
      </c>
      <c r="AA435" s="16" t="n">
        <v>-0.0432675666320527</v>
      </c>
      <c r="AC435" s="16" t="n">
        <f aca="false">IF(AND(ISNUMBER(N435),ISNUMBER(AA435)),N435-AA435,"")</f>
        <v>0.061506232603913</v>
      </c>
    </row>
    <row r="436" customFormat="false" ht="15" hidden="false" customHeight="false" outlineLevel="0" collapsed="false">
      <c r="A436" s="0" t="s">
        <v>1080</v>
      </c>
      <c r="B436" s="0" t="s">
        <v>1081</v>
      </c>
      <c r="C436" s="0" t="s">
        <v>31</v>
      </c>
      <c r="D436" s="15" t="n">
        <v>1314.162</v>
      </c>
      <c r="E436" s="15" t="n">
        <v>1233.805</v>
      </c>
      <c r="F436" s="15" t="n">
        <v>333.526</v>
      </c>
      <c r="G436" s="15" t="n">
        <v>1304.077</v>
      </c>
      <c r="H436" s="15" t="n">
        <v>1292.446</v>
      </c>
      <c r="N436" s="16" t="n">
        <v>0.0168022493783107</v>
      </c>
      <c r="P436" s="16" t="n">
        <v>0.0651294167230641</v>
      </c>
      <c r="Q436" s="16" t="n">
        <v>2.6992768179992</v>
      </c>
      <c r="R436" s="16" t="n">
        <v>-0.744243629785665</v>
      </c>
      <c r="S436" s="16" t="n">
        <v>0.00899921544110938</v>
      </c>
      <c r="V436" s="17" t="s">
        <v>51</v>
      </c>
      <c r="W436" s="18" t="n">
        <v>314.27</v>
      </c>
      <c r="X436" s="18" t="n">
        <v>225.77</v>
      </c>
      <c r="Y436" s="16" t="n">
        <f aca="false">IF(AND(ISNUMBER(W436),ISNUMBER(X436)),X436/W436-1,"")</f>
        <v>-0.281604989340376</v>
      </c>
      <c r="Z436" s="16" t="n">
        <v>-0.266385693649801</v>
      </c>
      <c r="AA436" s="16" t="n">
        <v>0.0703315098976411</v>
      </c>
      <c r="AC436" s="16" t="n">
        <f aca="false">IF(AND(ISNUMBER(N436),ISNUMBER(AA436)),N436-AA436,"")</f>
        <v>-0.0535292605193305</v>
      </c>
    </row>
    <row r="437" customFormat="false" ht="15" hidden="false" customHeight="false" outlineLevel="0" collapsed="false">
      <c r="A437" s="0" t="s">
        <v>1082</v>
      </c>
      <c r="B437" s="0" t="s">
        <v>1083</v>
      </c>
      <c r="C437" s="0" t="s">
        <v>31</v>
      </c>
      <c r="D437" s="15" t="n">
        <v>2336</v>
      </c>
      <c r="E437" s="15" t="n">
        <v>2125</v>
      </c>
      <c r="F437" s="15" t="n">
        <v>2397</v>
      </c>
      <c r="G437" s="15" t="n">
        <v>2268</v>
      </c>
      <c r="H437" s="15" t="n">
        <v>2301</v>
      </c>
      <c r="I437" s="15" t="n">
        <v>401</v>
      </c>
      <c r="J437" s="15" t="n">
        <v>275</v>
      </c>
      <c r="K437" s="15" t="n">
        <v>386</v>
      </c>
      <c r="L437" s="15" t="n">
        <v>357</v>
      </c>
      <c r="M437" s="15" t="n">
        <v>331</v>
      </c>
      <c r="N437" s="16" t="n">
        <v>0.0152107779226423</v>
      </c>
      <c r="O437" s="16" t="n">
        <v>0.211480362537764</v>
      </c>
      <c r="P437" s="16" t="n">
        <v>0.0992941176470588</v>
      </c>
      <c r="Q437" s="16" t="n">
        <v>-0.113475177304965</v>
      </c>
      <c r="R437" s="16" t="n">
        <v>0.056878306878307</v>
      </c>
      <c r="S437" s="16" t="n">
        <v>-0.0143415906127771</v>
      </c>
      <c r="V437" s="17" t="s">
        <v>47</v>
      </c>
      <c r="W437" s="18" t="n">
        <v>141.46</v>
      </c>
      <c r="X437" s="18" t="n">
        <v>108.64</v>
      </c>
      <c r="Y437" s="16" t="n">
        <f aca="false">IF(AND(ISNUMBER(W437),ISNUMBER(X437)),X437/W437-1,"")</f>
        <v>-0.232009048494274</v>
      </c>
      <c r="Z437" s="16" t="n">
        <v>-0.221243515495216</v>
      </c>
      <c r="AA437" s="16" t="n">
        <v>0.0608575380359613</v>
      </c>
      <c r="AB437" s="19" t="s">
        <v>35</v>
      </c>
      <c r="AC437" s="16" t="n">
        <f aca="false">IF(AND(ISNUMBER(N437),ISNUMBER(AA437)),N437-AA437,"")</f>
        <v>-0.045646760113319</v>
      </c>
    </row>
    <row r="438" customFormat="false" ht="15" hidden="false" customHeight="false" outlineLevel="0" collapsed="false">
      <c r="A438" s="0" t="s">
        <v>1084</v>
      </c>
      <c r="B438" s="0" t="s">
        <v>1085</v>
      </c>
      <c r="C438" s="0" t="s">
        <v>31</v>
      </c>
      <c r="D438" s="15" t="n">
        <v>21204</v>
      </c>
      <c r="E438" s="15" t="n">
        <v>21235</v>
      </c>
      <c r="F438" s="15" t="n">
        <v>22208</v>
      </c>
      <c r="G438" s="15" t="n">
        <v>22386</v>
      </c>
      <c r="H438" s="15" t="n">
        <v>20889</v>
      </c>
      <c r="I438" s="15" t="n">
        <v>3950</v>
      </c>
      <c r="J438" s="15" t="n">
        <v>4577</v>
      </c>
      <c r="K438" s="15" t="n">
        <v>5366</v>
      </c>
      <c r="L438" s="15" t="n">
        <v>5856</v>
      </c>
      <c r="M438" s="15" t="n">
        <v>4354</v>
      </c>
      <c r="N438" s="16" t="n">
        <v>0.015079707022835</v>
      </c>
      <c r="O438" s="16" t="n">
        <v>-0.0927882406982086</v>
      </c>
      <c r="P438" s="16" t="n">
        <v>-0.00145985401459858</v>
      </c>
      <c r="Q438" s="16" t="n">
        <v>-0.0438130403458213</v>
      </c>
      <c r="R438" s="16" t="n">
        <v>-0.00795139819530066</v>
      </c>
      <c r="S438" s="16" t="n">
        <v>0.0716645124228064</v>
      </c>
      <c r="V438" s="17" t="s">
        <v>84</v>
      </c>
      <c r="W438" s="18" t="n">
        <v>152.42</v>
      </c>
      <c r="X438" s="18" t="n">
        <v>147.39</v>
      </c>
      <c r="Y438" s="16" t="n">
        <f aca="false">IF(AND(ISNUMBER(W438),ISNUMBER(X438)),X438/W438-1,"")</f>
        <v>-0.0330009185146306</v>
      </c>
      <c r="Z438" s="16" t="n">
        <v>-0.0045646764695122</v>
      </c>
      <c r="AA438" s="16" t="n">
        <v>0.0173874926943307</v>
      </c>
      <c r="AC438" s="16" t="n">
        <f aca="false">IF(AND(ISNUMBER(N438),ISNUMBER(AA438)),N438-AA438,"")</f>
        <v>-0.0023077856714957</v>
      </c>
    </row>
    <row r="439" customFormat="false" ht="15" hidden="false" customHeight="false" outlineLevel="0" collapsed="false">
      <c r="A439" s="0" t="s">
        <v>1086</v>
      </c>
      <c r="B439" s="0" t="s">
        <v>1087</v>
      </c>
      <c r="C439" s="0" t="s">
        <v>31</v>
      </c>
      <c r="D439" s="15" t="n">
        <v>50474</v>
      </c>
      <c r="E439" s="15" t="n">
        <v>50181</v>
      </c>
      <c r="F439" s="15" t="n">
        <v>49747</v>
      </c>
      <c r="G439" s="15" t="n">
        <v>50711</v>
      </c>
      <c r="H439" s="15" t="n">
        <v>49776</v>
      </c>
      <c r="N439" s="16" t="n">
        <v>0.0140228222436516</v>
      </c>
      <c r="P439" s="16" t="n">
        <v>0.00583886331480032</v>
      </c>
      <c r="Q439" s="16" t="n">
        <v>0.00872414416949763</v>
      </c>
      <c r="R439" s="16" t="n">
        <v>-0.0190096823174459</v>
      </c>
      <c r="S439" s="16" t="n">
        <v>0.0187841530054644</v>
      </c>
      <c r="V439" s="17" t="s">
        <v>147</v>
      </c>
      <c r="W439" s="18" t="n">
        <v>326.38</v>
      </c>
      <c r="X439" s="18" t="n">
        <v>398.56</v>
      </c>
      <c r="Y439" s="16" t="n">
        <f aca="false">IF(AND(ISNUMBER(W439),ISNUMBER(X439)),X439/W439-1,"")</f>
        <v>0.221153256939763</v>
      </c>
      <c r="Z439" s="16" t="n">
        <v>0.245436091936353</v>
      </c>
      <c r="AA439" s="16" t="n">
        <v>0.134211365811421</v>
      </c>
      <c r="AC439" s="16" t="n">
        <f aca="false">IF(AND(ISNUMBER(N439),ISNUMBER(AA439)),N439-AA439,"")</f>
        <v>-0.120188543567769</v>
      </c>
    </row>
    <row r="440" customFormat="false" ht="15" hidden="false" customHeight="false" outlineLevel="0" collapsed="false">
      <c r="A440" s="0" t="s">
        <v>1088</v>
      </c>
      <c r="B440" s="0" t="s">
        <v>1089</v>
      </c>
      <c r="C440" s="0" t="s">
        <v>31</v>
      </c>
      <c r="D440" s="15" t="n">
        <v>321.192</v>
      </c>
      <c r="E440" s="15" t="n">
        <v>311.415</v>
      </c>
      <c r="F440" s="15" t="n">
        <v>295.877</v>
      </c>
      <c r="G440" s="15" t="n">
        <v>286.555</v>
      </c>
      <c r="H440" s="15" t="n">
        <v>316.964</v>
      </c>
      <c r="I440" s="15" t="n">
        <v>94.997</v>
      </c>
      <c r="J440" s="15" t="n">
        <v>75.495</v>
      </c>
      <c r="K440" s="15" t="n">
        <v>54.461</v>
      </c>
      <c r="L440" s="15" t="n">
        <v>47.658</v>
      </c>
      <c r="M440" s="15" t="n">
        <v>116.689</v>
      </c>
      <c r="N440" s="16" t="n">
        <v>0.0133390542774574</v>
      </c>
      <c r="O440" s="16" t="n">
        <v>-0.185895842795808</v>
      </c>
      <c r="P440" s="16" t="n">
        <v>0.031395404845624</v>
      </c>
      <c r="Q440" s="16" t="n">
        <v>0.0525150653818987</v>
      </c>
      <c r="R440" s="16" t="n">
        <v>0.0325312767182566</v>
      </c>
      <c r="S440" s="16" t="n">
        <v>-0.0959383400007572</v>
      </c>
      <c r="V440" s="17" t="s">
        <v>147</v>
      </c>
      <c r="W440" s="18" t="n">
        <v>51.22</v>
      </c>
      <c r="X440" s="18" t="n">
        <v>72.52</v>
      </c>
      <c r="Y440" s="16" t="n">
        <f aca="false">IF(AND(ISNUMBER(W440),ISNUMBER(X440)),X440/W440-1,"")</f>
        <v>0.415853182350644</v>
      </c>
      <c r="Z440" s="16" t="n">
        <v>0.423873510042105</v>
      </c>
      <c r="AA440" s="16" t="n">
        <v>0.035495052254336</v>
      </c>
      <c r="AC440" s="16" t="n">
        <f aca="false">IF(AND(ISNUMBER(N440),ISNUMBER(AA440)),N440-AA440,"")</f>
        <v>-0.0221559979768786</v>
      </c>
    </row>
    <row r="441" customFormat="false" ht="15" hidden="false" customHeight="false" outlineLevel="0" collapsed="false">
      <c r="A441" s="0" t="s">
        <v>1090</v>
      </c>
      <c r="B441" s="0" t="s">
        <v>1091</v>
      </c>
      <c r="C441" s="0" t="s">
        <v>31</v>
      </c>
      <c r="D441" s="15" t="n">
        <v>729.688</v>
      </c>
      <c r="E441" s="15" t="n">
        <v>711.118</v>
      </c>
      <c r="F441" s="15" t="n">
        <v>772.056</v>
      </c>
      <c r="G441" s="15" t="n">
        <v>698.949</v>
      </c>
      <c r="H441" s="15" t="n">
        <v>720.284</v>
      </c>
      <c r="I441" s="15" t="n">
        <v>87.854</v>
      </c>
      <c r="J441" s="15" t="n">
        <v>75.886</v>
      </c>
      <c r="K441" s="15" t="n">
        <v>111.749</v>
      </c>
      <c r="L441" s="15" t="n">
        <v>81.896</v>
      </c>
      <c r="M441" s="15" t="n">
        <v>89.065</v>
      </c>
      <c r="N441" s="16" t="n">
        <v>0.0130559612597254</v>
      </c>
      <c r="O441" s="16" t="n">
        <v>-0.0135968113175771</v>
      </c>
      <c r="P441" s="16" t="n">
        <v>0.0261138095224702</v>
      </c>
      <c r="Q441" s="16" t="n">
        <v>-0.0789295077041043</v>
      </c>
      <c r="R441" s="16" t="n">
        <v>0.104595614272286</v>
      </c>
      <c r="S441" s="16" t="n">
        <v>-0.0296202608970906</v>
      </c>
      <c r="V441" s="17" t="s">
        <v>147</v>
      </c>
      <c r="W441" s="18" t="n">
        <v>84.49</v>
      </c>
      <c r="X441" s="18" t="n">
        <v>142.11</v>
      </c>
      <c r="Y441" s="16" t="n">
        <f aca="false">IF(AND(ISNUMBER(W441),ISNUMBER(X441)),X441/W441-1,"")</f>
        <v>0.681974198129957</v>
      </c>
      <c r="Z441" s="16" t="n">
        <v>0.686624916909919</v>
      </c>
      <c r="AA441" s="16" t="n">
        <v>0.0413468558664709</v>
      </c>
      <c r="AC441" s="16" t="n">
        <f aca="false">IF(AND(ISNUMBER(N441),ISNUMBER(AA441)),N441-AA441,"")</f>
        <v>-0.0282908946067455</v>
      </c>
    </row>
    <row r="442" customFormat="false" ht="15" hidden="false" customHeight="false" outlineLevel="0" collapsed="false">
      <c r="A442" s="0" t="s">
        <v>1092</v>
      </c>
      <c r="B442" s="0" t="s">
        <v>1093</v>
      </c>
      <c r="C442" s="0" t="s">
        <v>65</v>
      </c>
      <c r="D442" s="15" t="n">
        <v>4609.6</v>
      </c>
      <c r="E442" s="15" t="n">
        <v>4436.7</v>
      </c>
      <c r="F442" s="15" t="n">
        <v>4860.8</v>
      </c>
      <c r="G442" s="15" t="n">
        <v>4517.5</v>
      </c>
      <c r="H442" s="15" t="n">
        <v>4556.2</v>
      </c>
      <c r="I442" s="15" t="n">
        <v>715.4</v>
      </c>
      <c r="J442" s="15" t="n">
        <v>554</v>
      </c>
      <c r="K442" s="15" t="n">
        <v>850.1</v>
      </c>
      <c r="L442" s="15" t="n">
        <v>687.7</v>
      </c>
      <c r="M442" s="15" t="n">
        <v>579.7</v>
      </c>
      <c r="N442" s="16" t="n">
        <v>0.0117202932268119</v>
      </c>
      <c r="O442" s="16" t="n">
        <v>0.234086596515439</v>
      </c>
      <c r="P442" s="16" t="n">
        <v>0.038970405932337</v>
      </c>
      <c r="Q442" s="16" t="n">
        <v>-0.0872490125082291</v>
      </c>
      <c r="R442" s="16" t="n">
        <v>0.0759933591588269</v>
      </c>
      <c r="S442" s="16" t="n">
        <v>-0.00849392037224006</v>
      </c>
      <c r="V442" s="17" t="s">
        <v>84</v>
      </c>
      <c r="W442" s="18" t="n">
        <v>51.11</v>
      </c>
      <c r="X442" s="18" t="n">
        <v>35.82</v>
      </c>
      <c r="Y442" s="16" t="n">
        <f aca="false">IF(AND(ISNUMBER(W442),ISNUMBER(X442)),X442/W442-1,"")</f>
        <v>-0.299158677362551</v>
      </c>
      <c r="Z442" s="16" t="n">
        <v>-0.255553599081992</v>
      </c>
      <c r="AA442" s="16" t="n">
        <v>-0.0681916627132279</v>
      </c>
      <c r="AC442" s="16" t="n">
        <f aca="false">IF(AND(ISNUMBER(N442),ISNUMBER(AA442)),N442-AA442,"")</f>
        <v>0.0799119559400398</v>
      </c>
    </row>
    <row r="443" customFormat="false" ht="15" hidden="false" customHeight="false" outlineLevel="0" collapsed="false">
      <c r="A443" s="0" t="s">
        <v>1094</v>
      </c>
      <c r="B443" s="0" t="s">
        <v>1095</v>
      </c>
      <c r="C443" s="0" t="s">
        <v>31</v>
      </c>
      <c r="D443" s="15" t="n">
        <v>8031</v>
      </c>
      <c r="E443" s="15" t="n">
        <v>7712</v>
      </c>
      <c r="F443" s="15" t="n">
        <v>7580</v>
      </c>
      <c r="G443" s="15" t="n">
        <v>8003</v>
      </c>
      <c r="H443" s="15" t="n">
        <v>7940</v>
      </c>
      <c r="I443" s="15" t="n">
        <v>429</v>
      </c>
      <c r="J443" s="15" t="n">
        <v>307</v>
      </c>
      <c r="K443" s="15" t="n">
        <v>462</v>
      </c>
      <c r="L443" s="15" t="n">
        <v>606</v>
      </c>
      <c r="M443" s="15" t="n">
        <v>552</v>
      </c>
      <c r="N443" s="16" t="n">
        <v>0.0114609571788413</v>
      </c>
      <c r="O443" s="16" t="n">
        <v>-0.222826086956522</v>
      </c>
      <c r="P443" s="16" t="n">
        <v>0.0413641078838174</v>
      </c>
      <c r="Q443" s="16" t="n">
        <v>0.0174142480211081</v>
      </c>
      <c r="R443" s="16" t="n">
        <v>-0.0528551793077596</v>
      </c>
      <c r="S443" s="16" t="n">
        <v>0.0079345088161209</v>
      </c>
      <c r="V443" s="17" t="s">
        <v>104</v>
      </c>
      <c r="W443" s="18" t="n">
        <v>43.25</v>
      </c>
      <c r="X443" s="18" t="n">
        <v>46.49</v>
      </c>
      <c r="Y443" s="16" t="n">
        <f aca="false">IF(AND(ISNUMBER(W443),ISNUMBER(X443)),X443/W443-1,"")</f>
        <v>0.0749132947976878</v>
      </c>
      <c r="Z443" s="16" t="n">
        <v>0.106809099990918</v>
      </c>
      <c r="AA443" s="16" t="n">
        <v>1.67430111148535</v>
      </c>
      <c r="AC443" s="16" t="n">
        <f aca="false">IF(AND(ISNUMBER(N443),ISNUMBER(AA443)),N443-AA443,"")</f>
        <v>-1.66284015430651</v>
      </c>
    </row>
    <row r="444" customFormat="false" ht="15" hidden="false" customHeight="false" outlineLevel="0" collapsed="false">
      <c r="A444" s="0" t="s">
        <v>1096</v>
      </c>
      <c r="B444" s="0" t="s">
        <v>1097</v>
      </c>
      <c r="C444" s="0" t="s">
        <v>31</v>
      </c>
      <c r="D444" s="15" t="n">
        <v>7592</v>
      </c>
      <c r="E444" s="15" t="n">
        <v>9178</v>
      </c>
      <c r="F444" s="15" t="n">
        <v>7938</v>
      </c>
      <c r="G444" s="15" t="n">
        <v>8542</v>
      </c>
      <c r="H444" s="15" t="n">
        <v>7508</v>
      </c>
      <c r="I444" s="15" t="n">
        <v>2088</v>
      </c>
      <c r="J444" s="15" t="n">
        <v>2341</v>
      </c>
      <c r="K444" s="15" t="n">
        <v>2104</v>
      </c>
      <c r="L444" s="15" t="n">
        <v>2317</v>
      </c>
      <c r="M444" s="15" t="n">
        <v>1819</v>
      </c>
      <c r="N444" s="16" t="n">
        <v>0.0111880660628663</v>
      </c>
      <c r="O444" s="16" t="n">
        <v>0.147883452446399</v>
      </c>
      <c r="P444" s="16" t="n">
        <v>-0.172804532577904</v>
      </c>
      <c r="Q444" s="16" t="n">
        <v>0.156210632401109</v>
      </c>
      <c r="R444" s="16" t="n">
        <v>-0.0707094357293374</v>
      </c>
      <c r="S444" s="16" t="n">
        <v>0.137719765583378</v>
      </c>
      <c r="V444" s="17" t="s">
        <v>134</v>
      </c>
      <c r="W444" s="18" t="n">
        <v>123.64</v>
      </c>
      <c r="X444" s="18" t="n">
        <v>114.17</v>
      </c>
      <c r="Y444" s="16" t="n">
        <f aca="false">IF(AND(ISNUMBER(W444),ISNUMBER(X444)),X444/W444-1,"")</f>
        <v>-0.0765933354901326</v>
      </c>
      <c r="Z444" s="16" t="n">
        <v>-0.0441862250564981</v>
      </c>
      <c r="AA444" s="16" t="n">
        <v>0.0310446091455741</v>
      </c>
      <c r="AC444" s="16" t="n">
        <f aca="false">IF(AND(ISNUMBER(N444),ISNUMBER(AA444)),N444-AA444,"")</f>
        <v>-0.0198565430827078</v>
      </c>
    </row>
    <row r="445" customFormat="false" ht="15" hidden="false" customHeight="false" outlineLevel="0" collapsed="false">
      <c r="A445" s="0" t="s">
        <v>1098</v>
      </c>
      <c r="B445" s="0" t="s">
        <v>1098</v>
      </c>
      <c r="C445" s="0" t="s">
        <v>31</v>
      </c>
      <c r="D445" s="15" t="n">
        <v>17162</v>
      </c>
      <c r="E445" s="15" t="n">
        <v>15917</v>
      </c>
      <c r="F445" s="15" t="n">
        <v>19687</v>
      </c>
      <c r="G445" s="15" t="n">
        <v>16331</v>
      </c>
      <c r="H445" s="15" t="n">
        <v>16977</v>
      </c>
      <c r="I445" s="15" t="n">
        <v>2845</v>
      </c>
      <c r="J445" s="15" t="n">
        <v>2219</v>
      </c>
      <c r="K445" s="15" t="n">
        <v>4849</v>
      </c>
      <c r="L445" s="15" t="n">
        <v>2792</v>
      </c>
      <c r="M445" s="15" t="n">
        <v>3086</v>
      </c>
      <c r="N445" s="16" t="n">
        <v>0.0108970960711552</v>
      </c>
      <c r="O445" s="16" t="n">
        <v>-0.0780946208684381</v>
      </c>
      <c r="P445" s="16" t="n">
        <v>0.0782182572092731</v>
      </c>
      <c r="Q445" s="16" t="n">
        <v>-0.19149692690608</v>
      </c>
      <c r="R445" s="16" t="n">
        <v>0.205498744718633</v>
      </c>
      <c r="S445" s="16" t="n">
        <v>-0.0380514814160334</v>
      </c>
      <c r="V445" s="17" t="s">
        <v>34</v>
      </c>
      <c r="W445" s="18" t="n">
        <v>267.53</v>
      </c>
      <c r="X445" s="18" t="n">
        <v>232.76</v>
      </c>
      <c r="Y445" s="16" t="n">
        <f aca="false">IF(AND(ISNUMBER(W445),ISNUMBER(X445)),X445/W445-1,"")</f>
        <v>-0.129966732702874</v>
      </c>
      <c r="Z445" s="16" t="n">
        <v>-0.107348712866907</v>
      </c>
      <c r="AA445" s="16" t="n">
        <v>0.0765377298668357</v>
      </c>
      <c r="AB445" s="19" t="s">
        <v>35</v>
      </c>
      <c r="AC445" s="16" t="n">
        <f aca="false">IF(AND(ISNUMBER(N445),ISNUMBER(AA445)),N445-AA445,"")</f>
        <v>-0.0656406337956805</v>
      </c>
    </row>
    <row r="446" customFormat="false" ht="15" hidden="false" customHeight="false" outlineLevel="0" collapsed="false">
      <c r="A446" s="0" t="s">
        <v>1099</v>
      </c>
      <c r="B446" s="0" t="s">
        <v>1100</v>
      </c>
      <c r="C446" s="0" t="s">
        <v>31</v>
      </c>
      <c r="D446" s="15" t="n">
        <v>4450.993</v>
      </c>
      <c r="E446" s="15" t="n">
        <v>4454.718</v>
      </c>
      <c r="F446" s="15" t="n">
        <v>4605.267</v>
      </c>
      <c r="G446" s="15" t="n">
        <v>4250.464</v>
      </c>
      <c r="H446" s="15" t="n">
        <v>4404.87</v>
      </c>
      <c r="I446" s="15" t="n">
        <v>302.234</v>
      </c>
      <c r="J446" s="15" t="n">
        <v>306.413</v>
      </c>
      <c r="K446" s="15" t="n">
        <v>325.217</v>
      </c>
      <c r="L446" s="15" t="n">
        <v>219.445</v>
      </c>
      <c r="M446" s="15" t="n">
        <v>379.679</v>
      </c>
      <c r="N446" s="16" t="n">
        <v>0.0104709106057614</v>
      </c>
      <c r="O446" s="16" t="n">
        <v>-0.203974936722863</v>
      </c>
      <c r="P446" s="16" t="n">
        <v>-0.000836192100150845</v>
      </c>
      <c r="Q446" s="16" t="n">
        <v>-0.0326906127266888</v>
      </c>
      <c r="R446" s="16" t="n">
        <v>0.0834739454327811</v>
      </c>
      <c r="S446" s="16" t="n">
        <v>-0.0350534749039132</v>
      </c>
      <c r="V446" s="17" t="s">
        <v>43</v>
      </c>
      <c r="W446" s="18" t="n">
        <v>34.55</v>
      </c>
      <c r="X446" s="18" t="n">
        <v>37.85</v>
      </c>
      <c r="Y446" s="16" t="n">
        <f aca="false">IF(AND(ISNUMBER(W446),ISNUMBER(X446)),X446/W446-1,"")</f>
        <v>0.0955137481910275</v>
      </c>
      <c r="Z446" s="16" t="n">
        <v>0.0955137282179954</v>
      </c>
      <c r="AA446" s="16" t="n">
        <v>0.0179080851555504</v>
      </c>
      <c r="AC446" s="16" t="n">
        <f aca="false">IF(AND(ISNUMBER(N446),ISNUMBER(AA446)),N446-AA446,"")</f>
        <v>-0.00743717454978898</v>
      </c>
    </row>
    <row r="447" customFormat="false" ht="15" hidden="false" customHeight="false" outlineLevel="0" collapsed="false">
      <c r="A447" s="0" t="s">
        <v>1101</v>
      </c>
      <c r="B447" s="0" t="s">
        <v>1102</v>
      </c>
      <c r="C447" s="0" t="s">
        <v>31</v>
      </c>
      <c r="D447" s="15" t="n">
        <v>555.127</v>
      </c>
      <c r="E447" s="15" t="n">
        <v>553.725</v>
      </c>
      <c r="F447" s="15" t="n">
        <v>555.556</v>
      </c>
      <c r="G447" s="15" t="n">
        <v>554.373</v>
      </c>
      <c r="H447" s="15" t="n">
        <v>549.902</v>
      </c>
      <c r="I447" s="15" t="n">
        <v>140.758</v>
      </c>
      <c r="J447" s="15" t="n">
        <v>147.106</v>
      </c>
      <c r="K447" s="15" t="n">
        <v>157.689</v>
      </c>
      <c r="L447" s="15" t="n">
        <v>150.951</v>
      </c>
      <c r="M447" s="15" t="n">
        <v>151.403</v>
      </c>
      <c r="N447" s="16" t="n">
        <v>0.00950169302893977</v>
      </c>
      <c r="O447" s="16" t="n">
        <v>-0.0703090427534461</v>
      </c>
      <c r="P447" s="16" t="n">
        <v>0.0025319427513657</v>
      </c>
      <c r="Q447" s="16" t="n">
        <v>-0.00329579736336216</v>
      </c>
      <c r="R447" s="16" t="n">
        <v>0.00213394230960029</v>
      </c>
      <c r="S447" s="16" t="n">
        <v>0.00813053962342392</v>
      </c>
      <c r="V447" s="17" t="s">
        <v>535</v>
      </c>
      <c r="W447" s="18" t="n">
        <v>140.43</v>
      </c>
      <c r="X447" s="18" t="n">
        <v>117.78</v>
      </c>
      <c r="Y447" s="16" t="n">
        <f aca="false">IF(AND(ISNUMBER(W447),ISNUMBER(X447)),X447/W447-1,"")</f>
        <v>-0.161290322580645</v>
      </c>
      <c r="Z447" s="16" t="n">
        <v>-0.121476952802048</v>
      </c>
      <c r="AA447" s="16" t="n">
        <v>0.00634476195704892</v>
      </c>
      <c r="AC447" s="16" t="n">
        <f aca="false">IF(AND(ISNUMBER(N447),ISNUMBER(AA447)),N447-AA447,"")</f>
        <v>0.00315693107189086</v>
      </c>
    </row>
    <row r="448" customFormat="false" ht="15" hidden="false" customHeight="false" outlineLevel="0" collapsed="false">
      <c r="A448" s="0" t="s">
        <v>1103</v>
      </c>
      <c r="B448" s="0" t="s">
        <v>1104</v>
      </c>
      <c r="C448" s="0" t="s">
        <v>31</v>
      </c>
      <c r="D448" s="15" t="n">
        <v>1706.2</v>
      </c>
      <c r="E448" s="15" t="n">
        <v>1880.1</v>
      </c>
      <c r="F448" s="15" t="n">
        <v>1648.7</v>
      </c>
      <c r="G448" s="15" t="n">
        <v>1537.6</v>
      </c>
      <c r="H448" s="15" t="n">
        <v>1692</v>
      </c>
      <c r="I448" s="15" t="n">
        <v>1107.1</v>
      </c>
      <c r="J448" s="15" t="n">
        <v>1309.7</v>
      </c>
      <c r="K448" s="15" t="n">
        <v>1019.6</v>
      </c>
      <c r="L448" s="15" t="n">
        <v>972.6</v>
      </c>
      <c r="M448" s="15" t="n">
        <v>1129.3</v>
      </c>
      <c r="N448" s="16" t="n">
        <v>0.00839243498817965</v>
      </c>
      <c r="O448" s="16" t="n">
        <v>-0.0196581953422474</v>
      </c>
      <c r="P448" s="16" t="n">
        <v>-0.0924950800489336</v>
      </c>
      <c r="Q448" s="16" t="n">
        <v>0.140353005398193</v>
      </c>
      <c r="R448" s="16" t="n">
        <v>0.0722554630593133</v>
      </c>
      <c r="S448" s="16" t="n">
        <v>-0.0912529550827423</v>
      </c>
      <c r="V448" s="17" t="s">
        <v>51</v>
      </c>
      <c r="W448" s="18" t="n">
        <v>264.43</v>
      </c>
      <c r="X448" s="18" t="n">
        <v>270.8</v>
      </c>
      <c r="Y448" s="16" t="n">
        <f aca="false">IF(AND(ISNUMBER(W448),ISNUMBER(X448)),X448/W448-1,"")</f>
        <v>0.0240895511099346</v>
      </c>
      <c r="Z448" s="16" t="n">
        <v>0.0638373197877187</v>
      </c>
      <c r="AA448" s="16" t="n">
        <v>0.104078303425775</v>
      </c>
      <c r="AC448" s="16" t="n">
        <f aca="false">IF(AND(ISNUMBER(N448),ISNUMBER(AA448)),N448-AA448,"")</f>
        <v>-0.0956858684375952</v>
      </c>
    </row>
    <row r="449" customFormat="false" ht="15" hidden="false" customHeight="false" outlineLevel="0" collapsed="false">
      <c r="A449" s="0" t="s">
        <v>1105</v>
      </c>
      <c r="B449" s="0" t="s">
        <v>1106</v>
      </c>
      <c r="C449" s="0" t="s">
        <v>31</v>
      </c>
      <c r="D449" s="15" t="n">
        <v>7086</v>
      </c>
      <c r="E449" s="15" t="n">
        <v>6616</v>
      </c>
      <c r="F449" s="15" t="n">
        <v>6557</v>
      </c>
      <c r="G449" s="15" t="n">
        <v>6402</v>
      </c>
      <c r="H449" s="15" t="n">
        <v>7041</v>
      </c>
      <c r="N449" s="16" t="n">
        <v>0.00639113762249677</v>
      </c>
      <c r="P449" s="16" t="n">
        <v>0.0710399032648126</v>
      </c>
      <c r="Q449" s="16" t="n">
        <v>0.00899801738599959</v>
      </c>
      <c r="R449" s="16" t="n">
        <v>0.0242111840049983</v>
      </c>
      <c r="S449" s="16" t="n">
        <v>-0.0907541542394547</v>
      </c>
      <c r="V449" s="17" t="s">
        <v>51</v>
      </c>
      <c r="W449" s="18" t="n">
        <v>77.9</v>
      </c>
      <c r="X449" s="18" t="n">
        <v>75.58</v>
      </c>
      <c r="Y449" s="16" t="n">
        <f aca="false">IF(AND(ISNUMBER(W449),ISNUMBER(X449)),X449/W449-1,"")</f>
        <v>-0.0297817715019256</v>
      </c>
      <c r="Z449" s="16" t="n">
        <v>-0.00588176618363767</v>
      </c>
      <c r="AA449" s="16" t="n">
        <v>0.0809451219512196</v>
      </c>
      <c r="AC449" s="16" t="n">
        <f aca="false">IF(AND(ISNUMBER(N449),ISNUMBER(AA449)),N449-AA449,"")</f>
        <v>-0.0745539843287228</v>
      </c>
    </row>
    <row r="450" customFormat="false" ht="15" hidden="false" customHeight="false" outlineLevel="0" collapsed="false">
      <c r="A450" s="0" t="s">
        <v>1107</v>
      </c>
      <c r="B450" s="0" t="s">
        <v>1108</v>
      </c>
      <c r="C450" s="0" t="s">
        <v>31</v>
      </c>
      <c r="D450" s="15" t="n">
        <v>4189</v>
      </c>
      <c r="E450" s="15" t="n">
        <v>4163</v>
      </c>
      <c r="F450" s="15" t="n">
        <v>4080</v>
      </c>
      <c r="G450" s="15" t="n">
        <v>4150</v>
      </c>
      <c r="H450" s="15" t="n">
        <v>4163</v>
      </c>
      <c r="I450" s="15" t="n">
        <v>633</v>
      </c>
      <c r="J450" s="15" t="n">
        <v>753</v>
      </c>
      <c r="K450" s="15" t="n">
        <v>507</v>
      </c>
      <c r="L450" s="15" t="n">
        <v>621</v>
      </c>
      <c r="M450" s="15" t="n">
        <v>592</v>
      </c>
      <c r="N450" s="16" t="n">
        <v>0.00624549603651214</v>
      </c>
      <c r="O450" s="16" t="n">
        <v>0.0692567567567568</v>
      </c>
      <c r="P450" s="16" t="n">
        <v>0.00624549603651214</v>
      </c>
      <c r="Q450" s="16" t="n">
        <v>0.0203431372549019</v>
      </c>
      <c r="R450" s="16" t="n">
        <v>-0.016867469879518</v>
      </c>
      <c r="S450" s="16" t="n">
        <v>-0.00312274801825607</v>
      </c>
      <c r="V450" s="17" t="s">
        <v>84</v>
      </c>
      <c r="W450" s="18" t="n">
        <v>123.93</v>
      </c>
      <c r="X450" s="18" t="n">
        <v>97.7</v>
      </c>
      <c r="Y450" s="16" t="n">
        <f aca="false">IF(AND(ISNUMBER(W450),ISNUMBER(X450)),X450/W450-1,"")</f>
        <v>-0.211651738884854</v>
      </c>
      <c r="Z450" s="16" t="n">
        <v>-0.171293920765226</v>
      </c>
      <c r="AA450" s="16" t="n">
        <v>-0.0160718506263294</v>
      </c>
      <c r="AC450" s="16" t="n">
        <f aca="false">IF(AND(ISNUMBER(N450),ISNUMBER(AA450)),N450-AA450,"")</f>
        <v>0.0223173466628416</v>
      </c>
    </row>
    <row r="451" customFormat="false" ht="15" hidden="false" customHeight="false" outlineLevel="0" collapsed="false">
      <c r="A451" s="0" t="s">
        <v>1109</v>
      </c>
      <c r="B451" s="0" t="s">
        <v>1110</v>
      </c>
      <c r="C451" s="0" t="s">
        <v>38</v>
      </c>
      <c r="D451" s="15" t="n">
        <v>1066.2</v>
      </c>
      <c r="E451" s="15" t="n">
        <v>1081.5</v>
      </c>
      <c r="F451" s="15" t="n">
        <v>1024.1</v>
      </c>
      <c r="G451" s="15" t="n">
        <v>1065.1</v>
      </c>
      <c r="H451" s="15" t="n">
        <v>1060.3</v>
      </c>
      <c r="I451" s="15" t="n">
        <v>222</v>
      </c>
      <c r="J451" s="15" t="n">
        <v>-31</v>
      </c>
      <c r="K451" s="15" t="n">
        <v>212.8</v>
      </c>
      <c r="L451" s="15" t="n">
        <v>140.4</v>
      </c>
      <c r="M451" s="15" t="n">
        <v>175.7</v>
      </c>
      <c r="N451" s="16" t="n">
        <v>0.00556446288786194</v>
      </c>
      <c r="O451" s="16" t="n">
        <v>0.263517359134889</v>
      </c>
      <c r="P451" s="16" t="n">
        <v>-0.0141470180305132</v>
      </c>
      <c r="Q451" s="16" t="n">
        <v>0.0560492139439508</v>
      </c>
      <c r="R451" s="16" t="n">
        <v>-0.0384940381184865</v>
      </c>
      <c r="S451" s="16" t="n">
        <v>0.00452702065453181</v>
      </c>
      <c r="V451" s="17" t="s">
        <v>147</v>
      </c>
      <c r="W451" s="18" t="n">
        <v>68.35</v>
      </c>
      <c r="X451" s="18" t="n">
        <v>56.07</v>
      </c>
      <c r="Y451" s="16" t="n">
        <f aca="false">IF(AND(ISNUMBER(W451),ISNUMBER(X451)),X451/W451-1,"")</f>
        <v>-0.17966349670812</v>
      </c>
      <c r="Z451" s="16" t="n">
        <v>-0.179663482859424</v>
      </c>
      <c r="AA451" s="16" t="n">
        <v>0.0573394495412845</v>
      </c>
      <c r="AC451" s="16" t="n">
        <f aca="false">IF(AND(ISNUMBER(N451),ISNUMBER(AA451)),N451-AA451,"")</f>
        <v>-0.0517749866534225</v>
      </c>
    </row>
    <row r="452" customFormat="false" ht="15" hidden="false" customHeight="false" outlineLevel="0" collapsed="false">
      <c r="A452" s="0" t="s">
        <v>1111</v>
      </c>
      <c r="B452" s="0" t="s">
        <v>1112</v>
      </c>
      <c r="C452" s="0" t="s">
        <v>31</v>
      </c>
      <c r="D452" s="15" t="n">
        <v>3960.7</v>
      </c>
      <c r="E452" s="15" t="n">
        <v>3846.4</v>
      </c>
      <c r="F452" s="15" t="n">
        <v>3684.6</v>
      </c>
      <c r="G452" s="15" t="n">
        <v>3756</v>
      </c>
      <c r="H452" s="15" t="n">
        <v>3945.2</v>
      </c>
      <c r="I452" s="15" t="n">
        <v>357.9</v>
      </c>
      <c r="J452" s="15" t="n">
        <v>231.4</v>
      </c>
      <c r="K452" s="15" t="n">
        <v>420.1</v>
      </c>
      <c r="L452" s="15" t="n">
        <v>388.1</v>
      </c>
      <c r="M452" s="15" t="n">
        <v>193.4</v>
      </c>
      <c r="N452" s="16" t="n">
        <v>0.00392882490114577</v>
      </c>
      <c r="O452" s="16" t="n">
        <v>0.850568769389866</v>
      </c>
      <c r="P452" s="16" t="n">
        <v>0.0297160981697171</v>
      </c>
      <c r="Q452" s="16" t="n">
        <v>0.0439125006784997</v>
      </c>
      <c r="R452" s="16" t="n">
        <v>-0.0190095846645367</v>
      </c>
      <c r="S452" s="16" t="n">
        <v>-0.0479570110514043</v>
      </c>
      <c r="V452" s="17" t="s">
        <v>47</v>
      </c>
      <c r="W452" s="18" t="n">
        <v>75.09</v>
      </c>
      <c r="X452" s="18" t="n">
        <v>91.76</v>
      </c>
      <c r="Y452" s="16" t="n">
        <f aca="false">IF(AND(ISNUMBER(W452),ISNUMBER(X452)),X452/W452-1,"")</f>
        <v>0.22200026634705</v>
      </c>
      <c r="Z452" s="16" t="n">
        <v>0.274426513382988</v>
      </c>
      <c r="AA452" s="16" t="n">
        <v>-0.0196799522910247</v>
      </c>
      <c r="AB452" s="17" t="s">
        <v>97</v>
      </c>
      <c r="AC452" s="16" t="n">
        <f aca="false">IF(AND(ISNUMBER(N452),ISNUMBER(AA452)),N452-AA452,"")</f>
        <v>0.0236087771921705</v>
      </c>
    </row>
    <row r="453" customFormat="false" ht="15" hidden="false" customHeight="false" outlineLevel="0" collapsed="false">
      <c r="A453" s="0" t="s">
        <v>1113</v>
      </c>
      <c r="B453" s="0" t="s">
        <v>1114</v>
      </c>
      <c r="C453" s="0" t="s">
        <v>31</v>
      </c>
      <c r="D453" s="15" t="n">
        <v>112032</v>
      </c>
      <c r="E453" s="15" t="n">
        <v>111721</v>
      </c>
      <c r="F453" s="15" t="n">
        <v>113215</v>
      </c>
      <c r="G453" s="15" t="n">
        <v>113161</v>
      </c>
      <c r="H453" s="15" t="n">
        <v>111616</v>
      </c>
      <c r="I453" s="15" t="n">
        <v>7991</v>
      </c>
      <c r="J453" s="15" t="n">
        <v>8990</v>
      </c>
      <c r="K453" s="15" t="n">
        <v>380</v>
      </c>
      <c r="L453" s="15" t="n">
        <v>4315</v>
      </c>
      <c r="M453" s="15" t="n">
        <v>5150</v>
      </c>
      <c r="N453" s="16" t="n">
        <v>0.00372706422018343</v>
      </c>
      <c r="O453" s="16" t="n">
        <v>0.551650485436893</v>
      </c>
      <c r="P453" s="16" t="n">
        <v>0.00278372016004158</v>
      </c>
      <c r="Q453" s="16" t="n">
        <v>-0.0131961312546924</v>
      </c>
      <c r="R453" s="16" t="n">
        <v>0.000477196207173902</v>
      </c>
      <c r="S453" s="16" t="n">
        <v>0.0138421014908257</v>
      </c>
      <c r="V453" s="17" t="s">
        <v>147</v>
      </c>
      <c r="W453" s="18" t="n">
        <v>351.81</v>
      </c>
      <c r="X453" s="18" t="n">
        <v>371.29</v>
      </c>
      <c r="Y453" s="16" t="n">
        <f aca="false">IF(AND(ISNUMBER(W453),ISNUMBER(X453)),X453/W453-1,"")</f>
        <v>0.0553707967368751</v>
      </c>
      <c r="Z453" s="16" t="n">
        <v>0.0834726142094278</v>
      </c>
      <c r="AA453" s="16" t="n">
        <v>0.129088058267159</v>
      </c>
      <c r="AC453" s="16" t="n">
        <f aca="false">IF(AND(ISNUMBER(N453),ISNUMBER(AA453)),N453-AA453,"")</f>
        <v>-0.125360994046976</v>
      </c>
    </row>
    <row r="454" customFormat="false" ht="15" hidden="false" customHeight="false" outlineLevel="0" collapsed="false">
      <c r="A454" s="0" t="s">
        <v>1115</v>
      </c>
      <c r="B454" s="0" t="s">
        <v>1116</v>
      </c>
      <c r="C454" s="0" t="s">
        <v>31</v>
      </c>
      <c r="D454" s="15" t="n">
        <v>12153</v>
      </c>
      <c r="E454" s="15" t="n">
        <v>11924</v>
      </c>
      <c r="F454" s="15" t="n">
        <v>12432</v>
      </c>
      <c r="G454" s="15" t="n">
        <v>12470</v>
      </c>
      <c r="H454" s="15" t="n">
        <v>12116</v>
      </c>
      <c r="N454" s="16" t="n">
        <v>0.00305381313965003</v>
      </c>
      <c r="P454" s="16" t="n">
        <v>0.0192049647769206</v>
      </c>
      <c r="Q454" s="16" t="n">
        <v>-0.0408622908622909</v>
      </c>
      <c r="R454" s="16" t="n">
        <v>-0.00304731355252608</v>
      </c>
      <c r="S454" s="16" t="n">
        <v>0.0292175635523275</v>
      </c>
      <c r="V454" s="17" t="s">
        <v>51</v>
      </c>
      <c r="W454" s="18" t="n">
        <v>276.66</v>
      </c>
      <c r="X454" s="18" t="n">
        <v>360.39</v>
      </c>
      <c r="Y454" s="16" t="n">
        <f aca="false">IF(AND(ISNUMBER(W454),ISNUMBER(X454)),X454/W454-1,"")</f>
        <v>0.302645846887877</v>
      </c>
      <c r="Z454" s="16" t="n">
        <v>0.322554973465488</v>
      </c>
      <c r="AA454" s="16" t="n">
        <v>0.0738278826553223</v>
      </c>
      <c r="AC454" s="16" t="n">
        <f aca="false">IF(AND(ISNUMBER(N454),ISNUMBER(AA454)),N454-AA454,"")</f>
        <v>-0.0707740695156722</v>
      </c>
    </row>
    <row r="455" customFormat="false" ht="15" hidden="false" customHeight="false" outlineLevel="0" collapsed="false">
      <c r="A455" s="0" t="s">
        <v>1117</v>
      </c>
      <c r="B455" s="0" t="s">
        <v>1118</v>
      </c>
      <c r="C455" s="0" t="s">
        <v>132</v>
      </c>
      <c r="D455" s="15" t="n">
        <v>1469.3</v>
      </c>
      <c r="E455" s="15" t="n">
        <v>1644.2</v>
      </c>
      <c r="F455" s="15" t="n">
        <v>1585.6</v>
      </c>
      <c r="G455" s="15" t="n">
        <v>1506.3</v>
      </c>
      <c r="H455" s="15" t="n">
        <v>1467.1</v>
      </c>
      <c r="I455" s="15" t="n">
        <v>291</v>
      </c>
      <c r="J455" s="15" t="n">
        <v>266</v>
      </c>
      <c r="K455" s="15" t="n">
        <v>254.6</v>
      </c>
      <c r="L455" s="15" t="n">
        <v>261.7</v>
      </c>
      <c r="M455" s="15" t="n">
        <v>295.3</v>
      </c>
      <c r="N455" s="16" t="n">
        <v>0.00149955694908321</v>
      </c>
      <c r="O455" s="16" t="n">
        <v>-0.0145614629190654</v>
      </c>
      <c r="P455" s="16" t="n">
        <v>-0.106373920447634</v>
      </c>
      <c r="Q455" s="16" t="n">
        <v>0.0369576185671039</v>
      </c>
      <c r="R455" s="16" t="n">
        <v>0.0526455553342629</v>
      </c>
      <c r="S455" s="16" t="n">
        <v>0.0267193783654829</v>
      </c>
      <c r="V455" s="17" t="s">
        <v>84</v>
      </c>
      <c r="W455" s="18" t="n">
        <v>86.86</v>
      </c>
      <c r="X455" s="18" t="n">
        <v>96.02</v>
      </c>
      <c r="Y455" s="16" t="n">
        <f aca="false">IF(AND(ISNUMBER(W455),ISNUMBER(X455)),X455/W455-1,"")</f>
        <v>0.10545705733364</v>
      </c>
      <c r="Z455" s="16" t="n">
        <v>0.11977369873749</v>
      </c>
      <c r="AA455" s="16" t="n">
        <v>-0.00324245632609843</v>
      </c>
      <c r="AC455" s="16" t="n">
        <f aca="false">IF(AND(ISNUMBER(N455),ISNUMBER(AA455)),N455-AA455,"")</f>
        <v>0.00474201327518165</v>
      </c>
    </row>
    <row r="456" customFormat="false" ht="15" hidden="false" customHeight="false" outlineLevel="0" collapsed="false">
      <c r="A456" s="0" t="s">
        <v>1119</v>
      </c>
      <c r="B456" s="0" t="s">
        <v>1120</v>
      </c>
      <c r="C456" s="0" t="s">
        <v>31</v>
      </c>
      <c r="D456" s="15" t="n">
        <v>1907</v>
      </c>
      <c r="E456" s="15" t="n">
        <v>1873</v>
      </c>
      <c r="F456" s="15" t="n">
        <v>1921</v>
      </c>
      <c r="G456" s="15" t="n">
        <v>1916</v>
      </c>
      <c r="H456" s="15" t="n">
        <v>1905</v>
      </c>
      <c r="N456" s="16" t="n">
        <v>0.00104986876640423</v>
      </c>
      <c r="P456" s="16" t="n">
        <v>0.0181526962092899</v>
      </c>
      <c r="Q456" s="16" t="n">
        <v>-0.0249869859448204</v>
      </c>
      <c r="R456" s="16" t="n">
        <v>0.00260960334029226</v>
      </c>
      <c r="S456" s="16" t="n">
        <v>0.00577427821522303</v>
      </c>
      <c r="V456" s="17" t="s">
        <v>51</v>
      </c>
      <c r="W456" s="18" t="n">
        <v>26.66</v>
      </c>
      <c r="X456" s="18" t="n">
        <v>27.39</v>
      </c>
      <c r="Y456" s="16" t="n">
        <f aca="false">IF(AND(ISNUMBER(W456),ISNUMBER(X456)),X456/W456-1,"")</f>
        <v>0.0273818454613655</v>
      </c>
      <c r="Z456" s="16" t="n">
        <v>0.068919954686318</v>
      </c>
      <c r="AA456" s="16" t="n">
        <v>0.10051993067591</v>
      </c>
      <c r="AC456" s="16" t="n">
        <f aca="false">IF(AND(ISNUMBER(N456),ISNUMBER(AA456)),N456-AA456,"")</f>
        <v>-0.0994700619095057</v>
      </c>
    </row>
    <row r="457" customFormat="false" ht="15" hidden="false" customHeight="false" outlineLevel="0" collapsed="false">
      <c r="A457" s="0" t="s">
        <v>1121</v>
      </c>
      <c r="B457" s="0" t="s">
        <v>1122</v>
      </c>
      <c r="C457" s="0" t="s">
        <v>31</v>
      </c>
      <c r="D457" s="15" t="n">
        <v>5902</v>
      </c>
      <c r="E457" s="15" t="n">
        <v>6881</v>
      </c>
      <c r="F457" s="15" t="n">
        <v>6804</v>
      </c>
      <c r="G457" s="15" t="n">
        <v>6250</v>
      </c>
      <c r="H457" s="15" t="n">
        <v>5898</v>
      </c>
      <c r="I457" s="15" t="n">
        <v>1263</v>
      </c>
      <c r="J457" s="15" t="n">
        <v>1470</v>
      </c>
      <c r="K457" s="15" t="n">
        <v>1224</v>
      </c>
      <c r="L457" s="15" t="n">
        <v>1210</v>
      </c>
      <c r="M457" s="15" t="n">
        <v>1146</v>
      </c>
      <c r="N457" s="16" t="n">
        <v>0.000678195998643716</v>
      </c>
      <c r="O457" s="16" t="n">
        <v>0.102094240837696</v>
      </c>
      <c r="P457" s="16" t="n">
        <v>-0.142275832001163</v>
      </c>
      <c r="Q457" s="16" t="n">
        <v>0.0113168724279835</v>
      </c>
      <c r="R457" s="16" t="n">
        <v>0.0886400000000001</v>
      </c>
      <c r="S457" s="16" t="n">
        <v>0.0596812478806374</v>
      </c>
      <c r="V457" s="17" t="s">
        <v>134</v>
      </c>
      <c r="W457" s="18" t="n">
        <v>14.66</v>
      </c>
      <c r="X457" s="18" t="n">
        <v>12.41</v>
      </c>
      <c r="Y457" s="16" t="n">
        <f aca="false">IF(AND(ISNUMBER(W457),ISNUMBER(X457)),X457/W457-1,"")</f>
        <v>-0.153478854024557</v>
      </c>
      <c r="Z457" s="16" t="n">
        <v>-0.144505361359059</v>
      </c>
      <c r="AA457" s="16" t="n">
        <v>-0.0147009689274975</v>
      </c>
      <c r="AC457" s="16" t="n">
        <f aca="false">IF(AND(ISNUMBER(N457),ISNUMBER(AA457)),N457-AA457,"")</f>
        <v>0.0153791649261412</v>
      </c>
    </row>
    <row r="458" customFormat="false" ht="15" hidden="false" customHeight="false" outlineLevel="0" collapsed="false">
      <c r="A458" s="0" t="s">
        <v>1123</v>
      </c>
      <c r="B458" s="0" t="s">
        <v>1124</v>
      </c>
      <c r="C458" s="0" t="s">
        <v>31</v>
      </c>
      <c r="D458" s="15" t="n">
        <v>6977</v>
      </c>
      <c r="E458" s="15" t="n">
        <v>8397</v>
      </c>
      <c r="F458" s="15" t="n">
        <v>6981</v>
      </c>
      <c r="G458" s="15" t="n">
        <v>7823</v>
      </c>
      <c r="H458" s="15" t="n">
        <v>6973</v>
      </c>
      <c r="I458" s="15" t="n">
        <v>1776</v>
      </c>
      <c r="J458" s="15" t="n">
        <v>2018</v>
      </c>
      <c r="K458" s="15" t="n">
        <v>917</v>
      </c>
      <c r="L458" s="15" t="n">
        <v>2594</v>
      </c>
      <c r="M458" s="15" t="n">
        <v>1764</v>
      </c>
      <c r="N458" s="16" t="n">
        <v>0.000573641187437302</v>
      </c>
      <c r="O458" s="16" t="n">
        <v>0.00680272108843538</v>
      </c>
      <c r="P458" s="16" t="n">
        <v>-0.169108014767179</v>
      </c>
      <c r="Q458" s="16" t="n">
        <v>0.202836269875376</v>
      </c>
      <c r="R458" s="16" t="n">
        <v>-0.10763134347437</v>
      </c>
      <c r="S458" s="16" t="n">
        <v>0.121898752330417</v>
      </c>
      <c r="V458" s="17" t="s">
        <v>134</v>
      </c>
      <c r="W458" s="18" t="n">
        <v>94.41</v>
      </c>
      <c r="X458" s="18" t="n">
        <v>83.47</v>
      </c>
      <c r="Y458" s="16" t="n">
        <f aca="false">IF(AND(ISNUMBER(W458),ISNUMBER(X458)),X458/W458-1,"")</f>
        <v>-0.115877555343714</v>
      </c>
      <c r="Z458" s="16" t="n">
        <v>-0.0866840332198984</v>
      </c>
      <c r="AA458" s="16" t="n">
        <v>0.0789107225746557</v>
      </c>
      <c r="AC458" s="16" t="n">
        <f aca="false">IF(AND(ISNUMBER(N458),ISNUMBER(AA458)),N458-AA458,"")</f>
        <v>-0.0783370813872184</v>
      </c>
    </row>
    <row r="459" customFormat="false" ht="15" hidden="false" customHeight="false" outlineLevel="0" collapsed="false">
      <c r="A459" s="0" t="s">
        <v>1125</v>
      </c>
      <c r="B459" s="0" t="s">
        <v>1126</v>
      </c>
      <c r="C459" s="0" t="s">
        <v>31</v>
      </c>
      <c r="D459" s="15" t="n">
        <v>425.399</v>
      </c>
      <c r="E459" s="15" t="n">
        <v>425.849</v>
      </c>
      <c r="F459" s="15" t="n">
        <v>433.106</v>
      </c>
      <c r="G459" s="15" t="n">
        <v>431.864</v>
      </c>
      <c r="H459" s="15" t="n">
        <v>425.399</v>
      </c>
      <c r="I459" s="15" t="n">
        <v>83.226</v>
      </c>
      <c r="J459" s="15" t="n">
        <v>78.118</v>
      </c>
      <c r="K459" s="15" t="n">
        <v>85.94</v>
      </c>
      <c r="L459" s="15" t="n">
        <v>78.111</v>
      </c>
      <c r="M459" s="15" t="n">
        <v>80.771</v>
      </c>
      <c r="N459" s="16" t="n">
        <v>0</v>
      </c>
      <c r="O459" s="16" t="n">
        <v>0.0303945723093684</v>
      </c>
      <c r="P459" s="16" t="n">
        <v>-0.00105671259061313</v>
      </c>
      <c r="Q459" s="16" t="n">
        <v>-0.0167557133819435</v>
      </c>
      <c r="R459" s="16" t="n">
        <v>0.00287590537761884</v>
      </c>
      <c r="S459" s="16" t="n">
        <v>0.0151974969381687</v>
      </c>
      <c r="V459" s="17" t="s">
        <v>535</v>
      </c>
      <c r="W459" s="18" t="n">
        <v>37.07</v>
      </c>
      <c r="X459" s="18" t="n">
        <v>33.79</v>
      </c>
      <c r="Y459" s="16" t="n">
        <f aca="false">IF(AND(ISNUMBER(W459),ISNUMBER(X459)),X459/W459-1,"")</f>
        <v>-0.0884812516859995</v>
      </c>
      <c r="Z459" s="16" t="n">
        <v>-0.0439852155107191</v>
      </c>
      <c r="AA459" s="16" t="n">
        <v>0.0242680342868149</v>
      </c>
      <c r="AC459" s="16" t="n">
        <f aca="false">IF(AND(ISNUMBER(N459),ISNUMBER(AA459)),N459-AA459,"")</f>
        <v>-0.0242680342868149</v>
      </c>
    </row>
    <row r="460" customFormat="false" ht="15" hidden="false" customHeight="false" outlineLevel="0" collapsed="false">
      <c r="A460" s="0" t="s">
        <v>1127</v>
      </c>
      <c r="B460" s="0" t="s">
        <v>1128</v>
      </c>
      <c r="C460" s="0" t="s">
        <v>31</v>
      </c>
      <c r="D460" s="15" t="n">
        <v>2997</v>
      </c>
      <c r="E460" s="15" t="n">
        <v>3655</v>
      </c>
      <c r="F460" s="15" t="n">
        <v>3749</v>
      </c>
      <c r="G460" s="15" t="n">
        <v>3151</v>
      </c>
      <c r="H460" s="15" t="n">
        <v>3000</v>
      </c>
      <c r="I460" s="15" t="n">
        <v>832</v>
      </c>
      <c r="J460" s="15" t="n">
        <v>1090</v>
      </c>
      <c r="K460" s="15" t="n">
        <v>1040</v>
      </c>
      <c r="L460" s="15" t="n">
        <v>497</v>
      </c>
      <c r="M460" s="15" t="n">
        <v>584</v>
      </c>
      <c r="N460" s="16" t="n">
        <v>-0.001</v>
      </c>
      <c r="O460" s="16" t="n">
        <v>0.424657534246575</v>
      </c>
      <c r="P460" s="16" t="n">
        <v>-0.180027359781122</v>
      </c>
      <c r="Q460" s="16" t="n">
        <v>-0.0250733528941051</v>
      </c>
      <c r="R460" s="16" t="n">
        <v>0.18978102189781</v>
      </c>
      <c r="S460" s="16" t="n">
        <v>0.0503333333333333</v>
      </c>
      <c r="V460" s="17" t="s">
        <v>134</v>
      </c>
      <c r="W460" s="18" t="n">
        <v>87.28</v>
      </c>
      <c r="X460" s="18" t="n">
        <v>79</v>
      </c>
      <c r="Y460" s="16" t="n">
        <f aca="false">IF(AND(ISNUMBER(W460),ISNUMBER(X460)),X460/W460-1,"")</f>
        <v>-0.0948670944087993</v>
      </c>
      <c r="Z460" s="16" t="n">
        <v>-0.0686712618998707</v>
      </c>
      <c r="AA460" s="16" t="n">
        <v>0.0869565217391304</v>
      </c>
      <c r="AC460" s="16" t="n">
        <f aca="false">IF(AND(ISNUMBER(N460),ISNUMBER(AA460)),N460-AA460,"")</f>
        <v>-0.0879565217391304</v>
      </c>
    </row>
    <row r="461" customFormat="false" ht="15" hidden="false" customHeight="false" outlineLevel="0" collapsed="false">
      <c r="A461" s="0" t="s">
        <v>1129</v>
      </c>
      <c r="B461" s="0" t="s">
        <v>1130</v>
      </c>
      <c r="C461" s="0" t="s">
        <v>31</v>
      </c>
      <c r="D461" s="15" t="n">
        <v>13868</v>
      </c>
      <c r="E461" s="15" t="n">
        <v>13653</v>
      </c>
      <c r="F461" s="15" t="n">
        <v>14313</v>
      </c>
      <c r="G461" s="15" t="n">
        <v>13860</v>
      </c>
      <c r="H461" s="15" t="n">
        <v>13884</v>
      </c>
      <c r="I461" s="15" t="n">
        <v>362</v>
      </c>
      <c r="J461" s="15" t="n">
        <v>435</v>
      </c>
      <c r="K461" s="15" t="n">
        <v>302</v>
      </c>
      <c r="L461" s="15" t="n">
        <v>158</v>
      </c>
      <c r="M461" s="15" t="n">
        <v>603</v>
      </c>
      <c r="N461" s="16" t="n">
        <v>-0.00115240564678765</v>
      </c>
      <c r="O461" s="16" t="n">
        <v>-0.399668325041459</v>
      </c>
      <c r="P461" s="16" t="n">
        <v>0.015747454771845</v>
      </c>
      <c r="Q461" s="16" t="n">
        <v>-0.0461119262209181</v>
      </c>
      <c r="R461" s="16" t="n">
        <v>0.0326839826839827</v>
      </c>
      <c r="S461" s="16" t="n">
        <v>-0.00172860847018153</v>
      </c>
      <c r="V461" s="17" t="s">
        <v>84</v>
      </c>
      <c r="W461" s="18" t="n">
        <v>54.46</v>
      </c>
      <c r="X461" s="18" t="n">
        <v>51.36</v>
      </c>
      <c r="Y461" s="16" t="n">
        <f aca="false">IF(AND(ISNUMBER(W461),ISNUMBER(X461)),X461/W461-1,"")</f>
        <v>-0.0569225119353655</v>
      </c>
      <c r="Z461" s="16" t="n">
        <v>-0.0237603782935821</v>
      </c>
      <c r="AA461" s="16" t="n">
        <v>0.0397663446416536</v>
      </c>
      <c r="AC461" s="16" t="n">
        <f aca="false">IF(AND(ISNUMBER(N461),ISNUMBER(AA461)),N461-AA461,"")</f>
        <v>-0.0409187502884413</v>
      </c>
    </row>
    <row r="462" customFormat="false" ht="15" hidden="false" customHeight="false" outlineLevel="0" collapsed="false">
      <c r="A462" s="0" t="s">
        <v>1131</v>
      </c>
      <c r="B462" s="0" t="s">
        <v>1132</v>
      </c>
      <c r="C462" s="0" t="s">
        <v>31</v>
      </c>
      <c r="D462" s="15" t="n">
        <v>2468</v>
      </c>
      <c r="E462" s="15" t="n">
        <v>2262</v>
      </c>
      <c r="F462" s="15" t="n">
        <v>2387</v>
      </c>
      <c r="G462" s="15" t="n">
        <v>2400</v>
      </c>
      <c r="H462" s="15" t="n">
        <v>2474</v>
      </c>
      <c r="I462" s="15" t="n">
        <v>999</v>
      </c>
      <c r="J462" s="15" t="n">
        <v>822</v>
      </c>
      <c r="K462" s="15" t="n">
        <v>826</v>
      </c>
      <c r="L462" s="15" t="n">
        <v>936</v>
      </c>
      <c r="M462" s="15" t="n">
        <v>997</v>
      </c>
      <c r="N462" s="16" t="n">
        <v>-0.00242522231204523</v>
      </c>
      <c r="O462" s="16" t="n">
        <v>0.00200601805416256</v>
      </c>
      <c r="P462" s="16" t="n">
        <v>0.0910698496905393</v>
      </c>
      <c r="Q462" s="16" t="n">
        <v>-0.0523669878508588</v>
      </c>
      <c r="R462" s="16" t="n">
        <v>-0.00541666666666663</v>
      </c>
      <c r="S462" s="16" t="n">
        <v>-0.0299110751818916</v>
      </c>
      <c r="V462" s="17" t="s">
        <v>147</v>
      </c>
      <c r="W462" s="18" t="n">
        <v>141.67</v>
      </c>
      <c r="X462" s="18" t="n">
        <v>71.61</v>
      </c>
      <c r="Y462" s="16" t="n">
        <f aca="false">IF(AND(ISNUMBER(W462),ISNUMBER(X462)),X462/W462-1,"")</f>
        <v>-0.4945295404814</v>
      </c>
      <c r="Z462" s="16" t="n">
        <v>-0.484821553342659</v>
      </c>
      <c r="AA462" s="16" t="n">
        <v>0.0419313850063532</v>
      </c>
      <c r="AB462" s="19" t="s">
        <v>35</v>
      </c>
      <c r="AC462" s="16" t="n">
        <f aca="false">IF(AND(ISNUMBER(N462),ISNUMBER(AA462)),N462-AA462,"")</f>
        <v>-0.0443566073183984</v>
      </c>
    </row>
    <row r="463" customFormat="false" ht="15" hidden="false" customHeight="false" outlineLevel="0" collapsed="false">
      <c r="A463" s="0" t="s">
        <v>1133</v>
      </c>
      <c r="B463" s="0" t="s">
        <v>1134</v>
      </c>
      <c r="C463" s="0" t="s">
        <v>132</v>
      </c>
      <c r="D463" s="15" t="n">
        <v>388.773</v>
      </c>
      <c r="E463" s="15" t="n">
        <v>390.794</v>
      </c>
      <c r="F463" s="15" t="n">
        <v>395.676</v>
      </c>
      <c r="G463" s="15" t="n">
        <v>396.509</v>
      </c>
      <c r="H463" s="15" t="n">
        <v>390.565</v>
      </c>
      <c r="I463" s="15" t="n">
        <v>75.223</v>
      </c>
      <c r="J463" s="15" t="n">
        <v>78.33</v>
      </c>
      <c r="K463" s="15" t="n">
        <v>63.631</v>
      </c>
      <c r="L463" s="15" t="n">
        <v>74.026</v>
      </c>
      <c r="M463" s="15" t="n">
        <v>76.866</v>
      </c>
      <c r="N463" s="16" t="n">
        <v>-0.00458822475132181</v>
      </c>
      <c r="O463" s="16" t="n">
        <v>-0.0213748601462285</v>
      </c>
      <c r="P463" s="16" t="n">
        <v>-0.00517152259246556</v>
      </c>
      <c r="Q463" s="16" t="n">
        <v>-0.0123383778647176</v>
      </c>
      <c r="R463" s="16" t="n">
        <v>-0.00210083503779235</v>
      </c>
      <c r="S463" s="16" t="n">
        <v>0.0152189776349647</v>
      </c>
      <c r="V463" s="17" t="s">
        <v>535</v>
      </c>
      <c r="W463" s="18" t="n">
        <v>107.2</v>
      </c>
      <c r="X463" s="18" t="n">
        <v>97.68</v>
      </c>
      <c r="Y463" s="16" t="n">
        <f aca="false">IF(AND(ISNUMBER(W463),ISNUMBER(X463)),X463/W463-1,"")</f>
        <v>-0.0888059701492537</v>
      </c>
      <c r="Z463" s="16" t="n">
        <v>-0.0516865875165636</v>
      </c>
      <c r="AA463" s="16" t="n">
        <v>0.0103607060629316</v>
      </c>
      <c r="AC463" s="16" t="n">
        <f aca="false">IF(AND(ISNUMBER(N463),ISNUMBER(AA463)),N463-AA463,"")</f>
        <v>-0.0149489308142534</v>
      </c>
    </row>
    <row r="464" customFormat="false" ht="15" hidden="false" customHeight="false" outlineLevel="0" collapsed="false">
      <c r="A464" s="0" t="s">
        <v>1135</v>
      </c>
      <c r="B464" s="0" t="s">
        <v>1136</v>
      </c>
      <c r="C464" s="0" t="s">
        <v>31</v>
      </c>
      <c r="D464" s="15" t="n">
        <v>1829</v>
      </c>
      <c r="E464" s="15" t="n">
        <v>2730</v>
      </c>
      <c r="F464" s="15" t="n">
        <v>2233</v>
      </c>
      <c r="G464" s="15" t="n">
        <v>2021</v>
      </c>
      <c r="H464" s="15" t="n">
        <v>1838</v>
      </c>
      <c r="I464" s="15" t="n">
        <v>264</v>
      </c>
      <c r="J464" s="15" t="n">
        <v>490</v>
      </c>
      <c r="K464" s="15" t="n">
        <v>435</v>
      </c>
      <c r="L464" s="15" t="n">
        <v>481</v>
      </c>
      <c r="M464" s="15" t="n">
        <v>317</v>
      </c>
      <c r="N464" s="16" t="n">
        <v>-0.00489662676822633</v>
      </c>
      <c r="O464" s="16" t="n">
        <v>-0.167192429022082</v>
      </c>
      <c r="P464" s="16" t="n">
        <v>-0.33003663003663</v>
      </c>
      <c r="Q464" s="16" t="n">
        <v>0.22257053291536</v>
      </c>
      <c r="R464" s="16" t="n">
        <v>0.104898565066799</v>
      </c>
      <c r="S464" s="16" t="n">
        <v>0.0995647442872687</v>
      </c>
      <c r="V464" s="17" t="s">
        <v>134</v>
      </c>
      <c r="W464" s="18" t="n">
        <v>71.66</v>
      </c>
      <c r="X464" s="18" t="n">
        <v>63.15</v>
      </c>
      <c r="Y464" s="16" t="n">
        <f aca="false">IF(AND(ISNUMBER(W464),ISNUMBER(X464)),X464/W464-1,"")</f>
        <v>-0.118755233044934</v>
      </c>
      <c r="Z464" s="16" t="n">
        <v>-0.0912238267821833</v>
      </c>
      <c r="AA464" s="16" t="n">
        <v>0.143746110765401</v>
      </c>
      <c r="AC464" s="16" t="n">
        <f aca="false">IF(AND(ISNUMBER(N464),ISNUMBER(AA464)),N464-AA464,"")</f>
        <v>-0.148642737533628</v>
      </c>
    </row>
    <row r="465" customFormat="false" ht="15" hidden="false" customHeight="false" outlineLevel="0" collapsed="false">
      <c r="A465" s="0" t="s">
        <v>1137</v>
      </c>
      <c r="B465" s="0" t="s">
        <v>1138</v>
      </c>
      <c r="C465" s="0" t="s">
        <v>31</v>
      </c>
      <c r="D465" s="15" t="n">
        <v>4194</v>
      </c>
      <c r="E465" s="15" t="n">
        <v>4408</v>
      </c>
      <c r="F465" s="15" t="n">
        <v>4891</v>
      </c>
      <c r="G465" s="15" t="n">
        <v>4793</v>
      </c>
      <c r="H465" s="15" t="n">
        <v>4218</v>
      </c>
      <c r="N465" s="16" t="n">
        <v>-0.00568990042674256</v>
      </c>
      <c r="P465" s="16" t="n">
        <v>-0.0485480943738657</v>
      </c>
      <c r="Q465" s="16" t="n">
        <v>-0.0987528112860355</v>
      </c>
      <c r="R465" s="16" t="n">
        <v>0.0204464844564991</v>
      </c>
      <c r="S465" s="16" t="n">
        <v>0.136320531057373</v>
      </c>
      <c r="V465" s="17" t="s">
        <v>51</v>
      </c>
      <c r="W465" s="18" t="n">
        <v>109.31</v>
      </c>
      <c r="X465" s="18" t="n">
        <v>115.23</v>
      </c>
      <c r="Y465" s="16" t="n">
        <f aca="false">IF(AND(ISNUMBER(W465),ISNUMBER(X465)),X465/W465-1,"")</f>
        <v>0.0541578995517336</v>
      </c>
      <c r="Z465" s="16" t="n">
        <v>0.0761965980237533</v>
      </c>
      <c r="AA465" s="16" t="n">
        <v>-0.190346438302842</v>
      </c>
      <c r="AB465" s="19" t="s">
        <v>35</v>
      </c>
      <c r="AC465" s="16" t="n">
        <f aca="false">IF(AND(ISNUMBER(N465),ISNUMBER(AA465)),N465-AA465,"")</f>
        <v>0.184656537876099</v>
      </c>
    </row>
    <row r="466" customFormat="false" ht="15" hidden="false" customHeight="false" outlineLevel="0" collapsed="false">
      <c r="A466" s="0" t="s">
        <v>1139</v>
      </c>
      <c r="B466" s="0" t="s">
        <v>1140</v>
      </c>
      <c r="C466" s="0" t="s">
        <v>31</v>
      </c>
      <c r="D466" s="15" t="n">
        <v>3154</v>
      </c>
      <c r="E466" s="15" t="n">
        <v>3585</v>
      </c>
      <c r="F466" s="15" t="n">
        <v>3649</v>
      </c>
      <c r="G466" s="15" t="n">
        <v>3331</v>
      </c>
      <c r="H466" s="15" t="n">
        <v>3175</v>
      </c>
      <c r="I466" s="15" t="n">
        <v>625</v>
      </c>
      <c r="J466" s="15" t="n">
        <v>916</v>
      </c>
      <c r="K466" s="15" t="n">
        <v>875</v>
      </c>
      <c r="L466" s="15" t="n">
        <v>794</v>
      </c>
      <c r="M466" s="15" t="n">
        <v>800</v>
      </c>
      <c r="N466" s="16" t="n">
        <v>-0.00661417322834645</v>
      </c>
      <c r="O466" s="16" t="n">
        <v>-0.21875</v>
      </c>
      <c r="P466" s="16" t="n">
        <v>-0.120223152022315</v>
      </c>
      <c r="Q466" s="16" t="n">
        <v>-0.0175390517950124</v>
      </c>
      <c r="R466" s="16" t="n">
        <v>0.0954668267787451</v>
      </c>
      <c r="S466" s="16" t="n">
        <v>0.0491338582677166</v>
      </c>
      <c r="V466" s="17" t="s">
        <v>43</v>
      </c>
      <c r="W466" s="18" t="n">
        <v>52.99</v>
      </c>
      <c r="X466" s="18" t="n">
        <v>39.19</v>
      </c>
      <c r="Y466" s="16" t="n">
        <f aca="false">IF(AND(ISNUMBER(W466),ISNUMBER(X466)),X466/W466-1,"")</f>
        <v>-0.260426495565201</v>
      </c>
      <c r="Z466" s="16" t="n">
        <v>-0.244407240447327</v>
      </c>
      <c r="AA466" s="16" t="n">
        <v>0.149945671858023</v>
      </c>
      <c r="AB466" s="19" t="s">
        <v>35</v>
      </c>
      <c r="AC466" s="16" t="n">
        <f aca="false">IF(AND(ISNUMBER(N466),ISNUMBER(AA466)),N466-AA466,"")</f>
        <v>-0.156559845086369</v>
      </c>
    </row>
    <row r="467" customFormat="false" ht="15" hidden="false" customHeight="false" outlineLevel="0" collapsed="false">
      <c r="A467" s="0" t="s">
        <v>1141</v>
      </c>
      <c r="B467" s="0" t="s">
        <v>1142</v>
      </c>
      <c r="C467" s="0" t="s">
        <v>31</v>
      </c>
      <c r="D467" s="15" t="n">
        <v>34253</v>
      </c>
      <c r="E467" s="15" t="n">
        <v>34440</v>
      </c>
      <c r="F467" s="15" t="n">
        <v>36381</v>
      </c>
      <c r="G467" s="15" t="n">
        <v>33821</v>
      </c>
      <c r="H467" s="15" t="n">
        <v>34504</v>
      </c>
      <c r="I467" s="15" t="n">
        <v>7179</v>
      </c>
      <c r="J467" s="15" t="n">
        <v>8242</v>
      </c>
      <c r="K467" s="15" t="n">
        <v>5004</v>
      </c>
      <c r="L467" s="15" t="n">
        <v>8105</v>
      </c>
      <c r="M467" s="15" t="n">
        <v>8172</v>
      </c>
      <c r="N467" s="16" t="n">
        <v>-0.00727451889635988</v>
      </c>
      <c r="O467" s="16" t="n">
        <v>-0.12151248164464</v>
      </c>
      <c r="P467" s="16" t="n">
        <v>-0.00542973286875725</v>
      </c>
      <c r="Q467" s="16" t="n">
        <v>-0.053352024408345</v>
      </c>
      <c r="R467" s="16" t="n">
        <v>0.0756926170130983</v>
      </c>
      <c r="S467" s="16" t="n">
        <v>-0.019794806399258</v>
      </c>
      <c r="V467" s="17" t="s">
        <v>76</v>
      </c>
      <c r="W467" s="18" t="n">
        <v>43.18</v>
      </c>
      <c r="X467" s="18" t="n">
        <v>46.52</v>
      </c>
      <c r="Y467" s="16" t="n">
        <f aca="false">IF(AND(ISNUMBER(W467),ISNUMBER(X467)),X467/W467-1,"")</f>
        <v>0.077350625289486</v>
      </c>
      <c r="Z467" s="16" t="n">
        <v>0.15094336773471</v>
      </c>
      <c r="AA467" s="16" t="n">
        <v>0.0520795218929138</v>
      </c>
      <c r="AC467" s="16" t="n">
        <f aca="false">IF(AND(ISNUMBER(N467),ISNUMBER(AA467)),N467-AA467,"")</f>
        <v>-0.0593540407892736</v>
      </c>
    </row>
    <row r="468" customFormat="false" ht="15" hidden="false" customHeight="false" outlineLevel="0" collapsed="false">
      <c r="A468" s="0" t="s">
        <v>1143</v>
      </c>
      <c r="B468" s="0" t="s">
        <v>1144</v>
      </c>
      <c r="C468" s="0" t="s">
        <v>132</v>
      </c>
      <c r="D468" s="15" t="n">
        <v>4012.934</v>
      </c>
      <c r="E468" s="15" t="n">
        <v>3912.634</v>
      </c>
      <c r="F468" s="15" t="n">
        <v>4136.846</v>
      </c>
      <c r="G468" s="15" t="n">
        <v>4136.543</v>
      </c>
      <c r="H468" s="15" t="n">
        <v>4046.74</v>
      </c>
      <c r="I468" s="15" t="n">
        <v>175.686</v>
      </c>
      <c r="J468" s="15" t="n">
        <v>181.353</v>
      </c>
      <c r="K468" s="15" t="n">
        <v>220.836</v>
      </c>
      <c r="L468" s="15" t="n">
        <v>215.919</v>
      </c>
      <c r="M468" s="15" t="n">
        <v>176.853</v>
      </c>
      <c r="N468" s="16" t="n">
        <v>-0.00835388485546396</v>
      </c>
      <c r="O468" s="16" t="n">
        <v>-0.00659870061576562</v>
      </c>
      <c r="P468" s="16" t="n">
        <v>0.0256349047725906</v>
      </c>
      <c r="Q468" s="16" t="n">
        <v>-0.0541987784896997</v>
      </c>
      <c r="R468" s="16" t="n">
        <v>7.32495709581116E-005</v>
      </c>
      <c r="S468" s="16" t="n">
        <v>0.0221914429886774</v>
      </c>
      <c r="V468" s="17" t="s">
        <v>47</v>
      </c>
      <c r="W468" s="18" t="n">
        <v>133.3</v>
      </c>
      <c r="X468" s="18" t="n">
        <v>149.67</v>
      </c>
      <c r="Y468" s="16" t="n">
        <f aca="false">IF(AND(ISNUMBER(W468),ISNUMBER(X468)),X468/W468-1,"")</f>
        <v>0.122805701425356</v>
      </c>
      <c r="Z468" s="16" t="n">
        <v>0.139924595188986</v>
      </c>
      <c r="AA468" s="16" t="n">
        <v>-0.077354022038887</v>
      </c>
      <c r="AC468" s="16" t="n">
        <f aca="false">IF(AND(ISNUMBER(N468),ISNUMBER(AA468)),N468-AA468,"")</f>
        <v>0.069000137183423</v>
      </c>
    </row>
    <row r="469" customFormat="false" ht="15" hidden="false" customHeight="false" outlineLevel="0" collapsed="false">
      <c r="A469" s="0" t="s">
        <v>1145</v>
      </c>
      <c r="B469" s="0" t="s">
        <v>1146</v>
      </c>
      <c r="C469" s="0" t="s">
        <v>31</v>
      </c>
      <c r="D469" s="15" t="n">
        <v>1867</v>
      </c>
      <c r="E469" s="15" t="n">
        <v>1727</v>
      </c>
      <c r="F469" s="15" t="n">
        <v>1541</v>
      </c>
      <c r="G469" s="15" t="n">
        <v>1717</v>
      </c>
      <c r="H469" s="15" t="n">
        <v>1884</v>
      </c>
      <c r="I469" s="15" t="n">
        <v>164</v>
      </c>
      <c r="J469" s="15" t="n">
        <v>169</v>
      </c>
      <c r="K469" s="15" t="n">
        <v>17</v>
      </c>
      <c r="L469" s="15" t="n">
        <v>68</v>
      </c>
      <c r="M469" s="15" t="n">
        <v>181</v>
      </c>
      <c r="N469" s="16" t="n">
        <v>-0.00902335456475589</v>
      </c>
      <c r="O469" s="16" t="n">
        <v>-0.0939226519337016</v>
      </c>
      <c r="P469" s="16" t="n">
        <v>0.0810654313839028</v>
      </c>
      <c r="Q469" s="16" t="n">
        <v>0.120700843608047</v>
      </c>
      <c r="R469" s="16" t="n">
        <v>-0.102504368083867</v>
      </c>
      <c r="S469" s="16" t="n">
        <v>-0.0886411889596603</v>
      </c>
      <c r="V469" s="17" t="s">
        <v>535</v>
      </c>
      <c r="W469" s="18" t="n">
        <v>24.61</v>
      </c>
      <c r="X469" s="18" t="n">
        <v>21.17</v>
      </c>
      <c r="Y469" s="16" t="n">
        <f aca="false">IF(AND(ISNUMBER(W469),ISNUMBER(X469)),X469/W469-1,"")</f>
        <v>-0.139780577001219</v>
      </c>
      <c r="Z469" s="16" t="n">
        <v>-0.108427296132609</v>
      </c>
      <c r="AA469" s="16" t="n">
        <v>-0.0283651366683858</v>
      </c>
      <c r="AB469" s="17" t="s">
        <v>97</v>
      </c>
      <c r="AC469" s="16" t="n">
        <f aca="false">IF(AND(ISNUMBER(N469),ISNUMBER(AA469)),N469-AA469,"")</f>
        <v>0.0193417821036299</v>
      </c>
    </row>
    <row r="470" customFormat="false" ht="15" hidden="false" customHeight="false" outlineLevel="0" collapsed="false">
      <c r="A470" s="0" t="s">
        <v>1147</v>
      </c>
      <c r="B470" s="0" t="s">
        <v>1148</v>
      </c>
      <c r="C470" s="0" t="s">
        <v>65</v>
      </c>
      <c r="D470" s="15" t="n">
        <v>10972</v>
      </c>
      <c r="E470" s="15" t="n">
        <v>11279</v>
      </c>
      <c r="F470" s="15" t="n">
        <v>12427</v>
      </c>
      <c r="G470" s="15" t="n">
        <v>11720</v>
      </c>
      <c r="H470" s="15" t="n">
        <v>11097</v>
      </c>
      <c r="I470" s="15" t="n">
        <v>1311</v>
      </c>
      <c r="J470" s="15" t="n">
        <v>553</v>
      </c>
      <c r="K470" s="15" t="n">
        <v>1006</v>
      </c>
      <c r="L470" s="15" t="n">
        <v>927</v>
      </c>
      <c r="M470" s="15" t="n">
        <v>321</v>
      </c>
      <c r="N470" s="16" t="n">
        <v>-0.0112643056681986</v>
      </c>
      <c r="O470" s="16" t="n">
        <v>3.08411214953271</v>
      </c>
      <c r="P470" s="16" t="n">
        <v>-0.0272187250642787</v>
      </c>
      <c r="Q470" s="16" t="n">
        <v>-0.0923794962581476</v>
      </c>
      <c r="R470" s="16" t="n">
        <v>0.0603242320819113</v>
      </c>
      <c r="S470" s="16" t="n">
        <v>0.0561412994503019</v>
      </c>
      <c r="V470" s="17" t="s">
        <v>43</v>
      </c>
      <c r="W470" s="18" t="n">
        <v>71.22</v>
      </c>
      <c r="X470" s="18" t="n">
        <v>36.05</v>
      </c>
      <c r="Y470" s="16" t="n">
        <f aca="false">IF(AND(ISNUMBER(W470),ISNUMBER(X470)),X470/W470-1,"")</f>
        <v>-0.493821960123561</v>
      </c>
      <c r="Z470" s="16" t="n">
        <v>-0.47713235458475</v>
      </c>
      <c r="AA470" s="16" t="n">
        <v>-0.119704902427416</v>
      </c>
      <c r="AC470" s="16" t="n">
        <f aca="false">IF(AND(ISNUMBER(N470),ISNUMBER(AA470)),N470-AA470,"")</f>
        <v>0.108440596759217</v>
      </c>
    </row>
    <row r="471" customFormat="false" ht="15" hidden="false" customHeight="false" outlineLevel="0" collapsed="false">
      <c r="A471" s="0" t="s">
        <v>1149</v>
      </c>
      <c r="B471" s="0" t="s">
        <v>1150</v>
      </c>
      <c r="C471" s="0" t="s">
        <v>31</v>
      </c>
      <c r="D471" s="15" t="n">
        <v>29940</v>
      </c>
      <c r="E471" s="15" t="n">
        <v>31457</v>
      </c>
      <c r="F471" s="15" t="n">
        <v>32310</v>
      </c>
      <c r="G471" s="15" t="n">
        <v>31198</v>
      </c>
      <c r="H471" s="15" t="n">
        <v>30313</v>
      </c>
      <c r="I471" s="15" t="n">
        <v>5160</v>
      </c>
      <c r="J471" s="15" t="n">
        <v>4135</v>
      </c>
      <c r="K471" s="15" t="n">
        <v>3486</v>
      </c>
      <c r="L471" s="15" t="n">
        <v>5533</v>
      </c>
      <c r="M471" s="15" t="n">
        <v>5993</v>
      </c>
      <c r="N471" s="16" t="n">
        <v>-0.0123049516709003</v>
      </c>
      <c r="O471" s="16" t="n">
        <v>-0.138995494743868</v>
      </c>
      <c r="P471" s="16" t="n">
        <v>-0.048224560511174</v>
      </c>
      <c r="Q471" s="16" t="n">
        <v>-0.0264004952027236</v>
      </c>
      <c r="R471" s="16" t="n">
        <v>0.0356433104686198</v>
      </c>
      <c r="S471" s="16" t="n">
        <v>0.0291953947151387</v>
      </c>
      <c r="V471" s="17" t="s">
        <v>76</v>
      </c>
      <c r="W471" s="18" t="n">
        <v>29.6251</v>
      </c>
      <c r="X471" s="18" t="n">
        <v>22.55</v>
      </c>
      <c r="Y471" s="16" t="n">
        <f aca="false">IF(AND(ISNUMBER(W471),ISNUMBER(X471)),X471/W471-1,"")</f>
        <v>-0.23882113478098</v>
      </c>
      <c r="Z471" s="16" t="n">
        <v>-0.201947048494565</v>
      </c>
      <c r="AA471" s="16" t="n">
        <v>0.0210522770142818</v>
      </c>
      <c r="AC471" s="16" t="n">
        <f aca="false">IF(AND(ISNUMBER(N471),ISNUMBER(AA471)),N471-AA471,"")</f>
        <v>-0.0333572286851821</v>
      </c>
    </row>
    <row r="472" customFormat="false" ht="15" hidden="false" customHeight="false" outlineLevel="0" collapsed="false">
      <c r="A472" s="0" t="s">
        <v>1151</v>
      </c>
      <c r="B472" s="0" t="s">
        <v>1152</v>
      </c>
      <c r="C472" s="0" t="s">
        <v>38</v>
      </c>
      <c r="D472" s="15" t="n">
        <v>911</v>
      </c>
      <c r="E472" s="15" t="n">
        <v>912</v>
      </c>
      <c r="F472" s="15" t="n">
        <v>1056</v>
      </c>
      <c r="G472" s="15" t="n">
        <v>1036</v>
      </c>
      <c r="H472" s="15" t="n">
        <v>924</v>
      </c>
      <c r="I472" s="15" t="n">
        <v>252</v>
      </c>
      <c r="J472" s="15" t="n">
        <v>228</v>
      </c>
      <c r="K472" s="15" t="n">
        <v>343</v>
      </c>
      <c r="L472" s="15" t="n">
        <v>309</v>
      </c>
      <c r="M472" s="15" t="n">
        <v>272</v>
      </c>
      <c r="N472" s="16" t="n">
        <v>-0.0140692640692641</v>
      </c>
      <c r="O472" s="16" t="n">
        <v>-0.0735294117647058</v>
      </c>
      <c r="P472" s="16" t="n">
        <v>-0.00109649122807021</v>
      </c>
      <c r="Q472" s="16" t="n">
        <v>-0.136363636363636</v>
      </c>
      <c r="R472" s="16" t="n">
        <v>0.0193050193050193</v>
      </c>
      <c r="S472" s="16" t="n">
        <v>0.121212121212121</v>
      </c>
      <c r="V472" s="17" t="s">
        <v>84</v>
      </c>
      <c r="W472" s="18" t="n">
        <v>27.64</v>
      </c>
      <c r="X472" s="18" t="n">
        <v>26.29</v>
      </c>
      <c r="Y472" s="16" t="n">
        <f aca="false">IF(AND(ISNUMBER(W472),ISNUMBER(X472)),X472/W472-1,"")</f>
        <v>-0.0488422575976846</v>
      </c>
      <c r="Z472" s="16" t="n">
        <v>-0.0158018998438754</v>
      </c>
      <c r="AA472" s="16" t="n">
        <v>-0.0283911671924291</v>
      </c>
      <c r="AC472" s="16" t="n">
        <f aca="false">IF(AND(ISNUMBER(N472),ISNUMBER(AA472)),N472-AA472,"")</f>
        <v>0.014321903123165</v>
      </c>
    </row>
    <row r="473" customFormat="false" ht="15" hidden="false" customHeight="false" outlineLevel="0" collapsed="false">
      <c r="A473" s="0" t="s">
        <v>1153</v>
      </c>
      <c r="B473" s="0" t="s">
        <v>1154</v>
      </c>
      <c r="C473" s="0" t="s">
        <v>31</v>
      </c>
      <c r="D473" s="15" t="n">
        <v>9322.7</v>
      </c>
      <c r="E473" s="15" t="n">
        <v>9531.5</v>
      </c>
      <c r="F473" s="15" t="n">
        <v>9915.1</v>
      </c>
      <c r="G473" s="15" t="n">
        <v>9569</v>
      </c>
      <c r="H473" s="15" t="n">
        <v>9456</v>
      </c>
      <c r="I473" s="15" t="n">
        <v>1204.4</v>
      </c>
      <c r="J473" s="15" t="n">
        <v>802.4</v>
      </c>
      <c r="K473" s="15" t="n">
        <v>918.3</v>
      </c>
      <c r="L473" s="15" t="n">
        <v>948.1</v>
      </c>
      <c r="M473" s="15" t="n">
        <v>899.3</v>
      </c>
      <c r="N473" s="16" t="n">
        <v>-0.0140968697123519</v>
      </c>
      <c r="O473" s="16" t="n">
        <v>0.339263871900367</v>
      </c>
      <c r="P473" s="16" t="n">
        <v>-0.0219063106541467</v>
      </c>
      <c r="Q473" s="16" t="n">
        <v>-0.0386884650684309</v>
      </c>
      <c r="R473" s="16" t="n">
        <v>0.0361688786707075</v>
      </c>
      <c r="S473" s="16" t="n">
        <v>0.0119500846023688</v>
      </c>
      <c r="V473" s="17" t="s">
        <v>43</v>
      </c>
      <c r="W473" s="18" t="n">
        <v>84.27</v>
      </c>
      <c r="X473" s="18" t="n">
        <v>94.14</v>
      </c>
      <c r="Y473" s="16" t="n">
        <f aca="false">IF(AND(ISNUMBER(W473),ISNUMBER(X473)),X473/W473-1,"")</f>
        <v>0.117123531505874</v>
      </c>
      <c r="Z473" s="16" t="n">
        <v>0.145631498836367</v>
      </c>
      <c r="AA473" s="16" t="n">
        <v>0.0375360712757435</v>
      </c>
      <c r="AC473" s="16" t="n">
        <f aca="false">IF(AND(ISNUMBER(N473),ISNUMBER(AA473)),N473-AA473,"")</f>
        <v>-0.0516329409880955</v>
      </c>
    </row>
    <row r="474" customFormat="false" ht="15" hidden="false" customHeight="false" outlineLevel="0" collapsed="false">
      <c r="A474" s="0" t="s">
        <v>1155</v>
      </c>
      <c r="B474" s="0" t="s">
        <v>1156</v>
      </c>
      <c r="C474" s="0" t="s">
        <v>31</v>
      </c>
      <c r="D474" s="15" t="n">
        <v>6262</v>
      </c>
      <c r="E474" s="15" t="n">
        <v>6047</v>
      </c>
      <c r="F474" s="15" t="n">
        <v>6354</v>
      </c>
      <c r="G474" s="15" t="n">
        <v>6237</v>
      </c>
      <c r="H474" s="15" t="n">
        <v>6352</v>
      </c>
      <c r="I474" s="15" t="n">
        <v>921</v>
      </c>
      <c r="J474" s="15" t="n">
        <v>1158</v>
      </c>
      <c r="K474" s="15" t="n">
        <v>1089</v>
      </c>
      <c r="L474" s="15" t="n">
        <v>1060</v>
      </c>
      <c r="M474" s="15" t="n">
        <v>1292</v>
      </c>
      <c r="N474" s="16" t="n">
        <v>-0.014168765743073</v>
      </c>
      <c r="O474" s="16" t="n">
        <v>-0.287151702786378</v>
      </c>
      <c r="P474" s="16" t="n">
        <v>0.0355548205721845</v>
      </c>
      <c r="Q474" s="16" t="n">
        <v>-0.0483160214038401</v>
      </c>
      <c r="R474" s="16" t="n">
        <v>0.0187590187590188</v>
      </c>
      <c r="S474" s="16" t="n">
        <v>-0.0181045340050378</v>
      </c>
      <c r="V474" s="17" t="s">
        <v>84</v>
      </c>
      <c r="W474" s="18" t="n">
        <v>26.74</v>
      </c>
      <c r="X474" s="18" t="n">
        <v>23.79</v>
      </c>
      <c r="Y474" s="16" t="n">
        <f aca="false">IF(AND(ISNUMBER(W474),ISNUMBER(X474)),X474/W474-1,"")</f>
        <v>-0.110321615557218</v>
      </c>
      <c r="Z474" s="16" t="n">
        <v>-0.0494152249348554</v>
      </c>
      <c r="AA474" s="16" t="n">
        <v>-0.019147621988882</v>
      </c>
      <c r="AC474" s="16" t="n">
        <f aca="false">IF(AND(ISNUMBER(N474),ISNUMBER(AA474)),N474-AA474,"")</f>
        <v>0.00497885624580896</v>
      </c>
    </row>
    <row r="475" customFormat="false" ht="15" hidden="false" customHeight="false" outlineLevel="0" collapsed="false">
      <c r="A475" s="0" t="s">
        <v>1157</v>
      </c>
      <c r="B475" s="0" t="s">
        <v>1158</v>
      </c>
      <c r="C475" s="0" t="s">
        <v>31</v>
      </c>
      <c r="D475" s="15" t="n">
        <v>13526</v>
      </c>
      <c r="E475" s="15" t="n">
        <v>13597</v>
      </c>
      <c r="F475" s="15" t="n">
        <v>13601</v>
      </c>
      <c r="G475" s="15" t="n">
        <v>13672</v>
      </c>
      <c r="H475" s="15" t="n">
        <v>13766</v>
      </c>
      <c r="I475" s="15" t="n">
        <v>3114</v>
      </c>
      <c r="J475" s="15" t="n">
        <v>3223</v>
      </c>
      <c r="K475" s="15" t="n">
        <v>3354</v>
      </c>
      <c r="L475" s="15" t="n">
        <v>3250</v>
      </c>
      <c r="M475" s="15" t="n">
        <v>3360</v>
      </c>
      <c r="N475" s="16" t="n">
        <v>-0.017434258317594</v>
      </c>
      <c r="O475" s="16" t="n">
        <v>-0.0732142857142857</v>
      </c>
      <c r="P475" s="16" t="n">
        <v>-0.00522174008972565</v>
      </c>
      <c r="Q475" s="16" t="n">
        <v>-0.000294096022351309</v>
      </c>
      <c r="R475" s="16" t="n">
        <v>-0.00519309537741364</v>
      </c>
      <c r="S475" s="16" t="n">
        <v>-0.0068284178410577</v>
      </c>
      <c r="V475" s="17" t="s">
        <v>76</v>
      </c>
      <c r="W475" s="18" t="n">
        <v>263.39</v>
      </c>
      <c r="X475" s="18" t="n">
        <v>116.61</v>
      </c>
      <c r="Y475" s="16" t="n">
        <f aca="false">IF(AND(ISNUMBER(W475),ISNUMBER(X475)),X475/W475-1,"")</f>
        <v>-0.557272485667641</v>
      </c>
      <c r="Z475" s="16" t="n">
        <v>-0.557272507972643</v>
      </c>
      <c r="AA475" s="16" t="n">
        <v>0.0059188892948483</v>
      </c>
      <c r="AC475" s="16" t="n">
        <f aca="false">IF(AND(ISNUMBER(N475),ISNUMBER(AA475)),N475-AA475,"")</f>
        <v>-0.0233531476124423</v>
      </c>
    </row>
    <row r="476" customFormat="false" ht="15" hidden="false" customHeight="false" outlineLevel="0" collapsed="false">
      <c r="A476" s="0" t="s">
        <v>1159</v>
      </c>
      <c r="B476" s="0" t="s">
        <v>1160</v>
      </c>
      <c r="C476" s="0" t="s">
        <v>31</v>
      </c>
      <c r="D476" s="15" t="n">
        <v>6004</v>
      </c>
      <c r="E476" s="15" t="n">
        <v>5971</v>
      </c>
      <c r="F476" s="15" t="n">
        <v>6006</v>
      </c>
      <c r="G476" s="15" t="n">
        <v>6222</v>
      </c>
      <c r="H476" s="15" t="n">
        <v>6142</v>
      </c>
      <c r="I476" s="15" t="n">
        <v>43</v>
      </c>
      <c r="J476" s="15" t="n">
        <v>174</v>
      </c>
      <c r="K476" s="15" t="n">
        <v>56</v>
      </c>
      <c r="L476" s="15" t="n">
        <v>-221</v>
      </c>
      <c r="M476" s="15" t="n">
        <v>207</v>
      </c>
      <c r="N476" s="16" t="n">
        <v>-0.0224682513839141</v>
      </c>
      <c r="O476" s="16" t="n">
        <v>-0.792270531400966</v>
      </c>
      <c r="P476" s="16" t="n">
        <v>0.0055267124434768</v>
      </c>
      <c r="Q476" s="16" t="n">
        <v>-0.0058275058275058</v>
      </c>
      <c r="R476" s="16" t="n">
        <v>-0.0347155255544841</v>
      </c>
      <c r="S476" s="16" t="n">
        <v>0.0130250732660371</v>
      </c>
      <c r="V476" s="17" t="s">
        <v>104</v>
      </c>
      <c r="W476" s="18" t="n">
        <v>46.25</v>
      </c>
      <c r="X476" s="18" t="n">
        <v>35.7</v>
      </c>
      <c r="Y476" s="16" t="n">
        <f aca="false">IF(AND(ISNUMBER(W476),ISNUMBER(X476)),X476/W476-1,"")</f>
        <v>-0.228108108108108</v>
      </c>
      <c r="Z476" s="16" t="n">
        <v>-0.189867313165618</v>
      </c>
      <c r="AA476" s="16" t="n">
        <v>0.429446556822983</v>
      </c>
      <c r="AB476" s="19" t="s">
        <v>35</v>
      </c>
      <c r="AC476" s="16" t="n">
        <f aca="false">IF(AND(ISNUMBER(N476),ISNUMBER(AA476)),N476-AA476,"")</f>
        <v>-0.451914808206897</v>
      </c>
    </row>
    <row r="477" customFormat="false" ht="15" hidden="false" customHeight="false" outlineLevel="0" collapsed="false">
      <c r="A477" s="0" t="s">
        <v>1161</v>
      </c>
      <c r="B477" s="0" t="s">
        <v>1162</v>
      </c>
      <c r="C477" s="0" t="s">
        <v>38</v>
      </c>
      <c r="D477" s="15" t="n">
        <v>2961.333</v>
      </c>
      <c r="E477" s="15" t="n">
        <v>2972.6</v>
      </c>
      <c r="F477" s="15" t="n">
        <v>3027.317</v>
      </c>
      <c r="G477" s="15" t="n">
        <v>3185.661</v>
      </c>
      <c r="H477" s="15" t="n">
        <v>3032.876</v>
      </c>
      <c r="I477" s="15" t="n">
        <v>148.014</v>
      </c>
      <c r="J477" s="15" t="n">
        <v>199.883</v>
      </c>
      <c r="K477" s="15" t="n">
        <v>227.877</v>
      </c>
      <c r="L477" s="15" t="n">
        <v>221.375</v>
      </c>
      <c r="M477" s="15" t="n">
        <v>228.596</v>
      </c>
      <c r="N477" s="16" t="n">
        <v>-0.0235891609152501</v>
      </c>
      <c r="O477" s="16" t="n">
        <v>-0.3525083553518</v>
      </c>
      <c r="P477" s="16" t="n">
        <v>-0.00379028459934061</v>
      </c>
      <c r="Q477" s="16" t="n">
        <v>-0.0180744203530717</v>
      </c>
      <c r="R477" s="16" t="n">
        <v>-0.0497052260111794</v>
      </c>
      <c r="S477" s="16" t="n">
        <v>0.05037627651114</v>
      </c>
      <c r="V477" s="17" t="s">
        <v>84</v>
      </c>
      <c r="W477" s="18" t="n">
        <v>24.71</v>
      </c>
      <c r="X477" s="18" t="n">
        <v>19.92</v>
      </c>
      <c r="Y477" s="16" t="n">
        <f aca="false">IF(AND(ISNUMBER(W477),ISNUMBER(X477)),X477/W477-1,"")</f>
        <v>-0.193848644273573</v>
      </c>
      <c r="Z477" s="16" t="n">
        <v>-0.151548491754343</v>
      </c>
      <c r="AA477" s="16" t="n">
        <v>0.0463811087539068</v>
      </c>
      <c r="AC477" s="16" t="n">
        <f aca="false">IF(AND(ISNUMBER(N477),ISNUMBER(AA477)),N477-AA477,"")</f>
        <v>-0.0699702696691569</v>
      </c>
    </row>
    <row r="478" customFormat="false" ht="15" hidden="false" customHeight="false" outlineLevel="0" collapsed="false">
      <c r="A478" s="0" t="s">
        <v>1163</v>
      </c>
      <c r="B478" s="0" t="s">
        <v>1164</v>
      </c>
      <c r="C478" s="0" t="s">
        <v>31</v>
      </c>
      <c r="D478" s="15" t="n">
        <v>6742</v>
      </c>
      <c r="E478" s="15" t="n">
        <v>6587</v>
      </c>
      <c r="F478" s="15" t="n">
        <v>7386</v>
      </c>
      <c r="G478" s="15" t="n">
        <v>7010</v>
      </c>
      <c r="H478" s="15" t="n">
        <v>6910</v>
      </c>
      <c r="I478" s="15" t="n">
        <v>865</v>
      </c>
      <c r="J478" s="15" t="n">
        <v>809</v>
      </c>
      <c r="K478" s="15" t="n">
        <v>970</v>
      </c>
      <c r="L478" s="15" t="n">
        <v>948</v>
      </c>
      <c r="M478" s="15" t="n">
        <v>887</v>
      </c>
      <c r="N478" s="16" t="n">
        <v>-0.0243125904486252</v>
      </c>
      <c r="O478" s="16" t="n">
        <v>-0.0248027057497181</v>
      </c>
      <c r="P478" s="16" t="n">
        <v>0.0235311978138759</v>
      </c>
      <c r="Q478" s="16" t="n">
        <v>-0.108177633360412</v>
      </c>
      <c r="R478" s="16" t="n">
        <v>0.0536376604850215</v>
      </c>
      <c r="S478" s="16" t="n">
        <v>0.0144717800289436</v>
      </c>
      <c r="V478" s="17" t="s">
        <v>80</v>
      </c>
      <c r="W478" s="18" t="n">
        <v>49.87</v>
      </c>
      <c r="X478" s="18" t="n">
        <v>58.03</v>
      </c>
      <c r="Y478" s="16" t="n">
        <f aca="false">IF(AND(ISNUMBER(W478),ISNUMBER(X478)),X478/W478-1,"")</f>
        <v>0.163625426107881</v>
      </c>
      <c r="Z478" s="16" t="n">
        <v>0.181820576049331</v>
      </c>
      <c r="AA478" s="16" t="n">
        <v>-0.032077321753747</v>
      </c>
      <c r="AC478" s="16" t="n">
        <f aca="false">IF(AND(ISNUMBER(N478),ISNUMBER(AA478)),N478-AA478,"")</f>
        <v>0.00776473130512178</v>
      </c>
    </row>
    <row r="479" customFormat="false" ht="15" hidden="false" customHeight="false" outlineLevel="0" collapsed="false">
      <c r="A479" s="0" t="s">
        <v>1165</v>
      </c>
      <c r="B479" s="0" t="s">
        <v>1166</v>
      </c>
      <c r="C479" s="0" t="s">
        <v>31</v>
      </c>
      <c r="D479" s="15" t="n">
        <v>1992</v>
      </c>
      <c r="E479" s="15" t="n">
        <v>1918</v>
      </c>
      <c r="F479" s="15" t="n">
        <v>1793</v>
      </c>
      <c r="G479" s="15" t="n">
        <v>1917</v>
      </c>
      <c r="H479" s="15" t="n">
        <v>2051</v>
      </c>
      <c r="I479" s="15" t="n">
        <v>471</v>
      </c>
      <c r="J479" s="15" t="n">
        <v>317</v>
      </c>
      <c r="K479" s="15" t="n">
        <v>252</v>
      </c>
      <c r="L479" s="15" t="n">
        <v>303</v>
      </c>
      <c r="M479" s="15" t="n">
        <v>411</v>
      </c>
      <c r="N479" s="16" t="n">
        <v>-0.0287664553876158</v>
      </c>
      <c r="O479" s="16" t="n">
        <v>0.145985401459854</v>
      </c>
      <c r="P479" s="16" t="n">
        <v>0.0385818561001043</v>
      </c>
      <c r="Q479" s="16" t="n">
        <v>0.0697155605131066</v>
      </c>
      <c r="R479" s="16" t="n">
        <v>-0.0646844027125717</v>
      </c>
      <c r="S479" s="16" t="n">
        <v>-0.0653339834227207</v>
      </c>
      <c r="V479" s="17" t="s">
        <v>47</v>
      </c>
      <c r="W479" s="18" t="n">
        <v>71.58</v>
      </c>
      <c r="X479" s="18" t="n">
        <v>68.16</v>
      </c>
      <c r="Y479" s="16" t="n">
        <f aca="false">IF(AND(ISNUMBER(W479),ISNUMBER(X479)),X479/W479-1,"")</f>
        <v>-0.0477787091366304</v>
      </c>
      <c r="Z479" s="16" t="n">
        <v>-0.0300676943280596</v>
      </c>
      <c r="AA479" s="16" t="n">
        <v>-0.0191296030607365</v>
      </c>
      <c r="AB479" s="19" t="s">
        <v>35</v>
      </c>
      <c r="AC479" s="16" t="n">
        <f aca="false">IF(AND(ISNUMBER(N479),ISNUMBER(AA479)),N479-AA479,"")</f>
        <v>-0.00963685232687928</v>
      </c>
    </row>
    <row r="480" customFormat="false" ht="15" hidden="false" customHeight="false" outlineLevel="0" collapsed="false">
      <c r="A480" s="0" t="s">
        <v>1167</v>
      </c>
      <c r="B480" s="0" t="s">
        <v>1168</v>
      </c>
      <c r="C480" s="0" t="s">
        <v>31</v>
      </c>
      <c r="D480" s="15" t="n">
        <v>934.8</v>
      </c>
      <c r="E480" s="15" t="n">
        <v>943.7</v>
      </c>
      <c r="F480" s="15" t="n">
        <v>1035.4</v>
      </c>
      <c r="G480" s="15" t="n">
        <v>1100.2</v>
      </c>
      <c r="H480" s="15" t="n">
        <v>965</v>
      </c>
      <c r="I480" s="15" t="n">
        <v>68.3</v>
      </c>
      <c r="J480" s="15" t="n">
        <v>53</v>
      </c>
      <c r="K480" s="15" t="n">
        <v>115.2</v>
      </c>
      <c r="L480" s="15" t="n">
        <v>112.6</v>
      </c>
      <c r="M480" s="15" t="n">
        <v>112.1</v>
      </c>
      <c r="N480" s="16" t="n">
        <v>-0.0312953367875648</v>
      </c>
      <c r="O480" s="16" t="n">
        <v>-0.390722569134701</v>
      </c>
      <c r="P480" s="16" t="n">
        <v>-0.00943096322983994</v>
      </c>
      <c r="Q480" s="16" t="n">
        <v>-0.0885648058721267</v>
      </c>
      <c r="R480" s="16" t="n">
        <v>-0.0588983821123432</v>
      </c>
      <c r="S480" s="16" t="n">
        <v>0.140103626943005</v>
      </c>
      <c r="V480" s="17" t="s">
        <v>34</v>
      </c>
      <c r="W480" s="18" t="n">
        <v>80.66</v>
      </c>
      <c r="X480" s="18" t="n">
        <v>91.45</v>
      </c>
      <c r="Y480" s="16" t="n">
        <f aca="false">IF(AND(ISNUMBER(W480),ISNUMBER(X480)),X480/W480-1,"")</f>
        <v>0.133771386064964</v>
      </c>
      <c r="Z480" s="16" t="n">
        <v>0.170527154170581</v>
      </c>
      <c r="AA480" s="16" t="n">
        <v>0.0657095527332965</v>
      </c>
      <c r="AC480" s="16" t="n">
        <f aca="false">IF(AND(ISNUMBER(N480),ISNUMBER(AA480)),N480-AA480,"")</f>
        <v>-0.0970048895208613</v>
      </c>
    </row>
    <row r="481" customFormat="false" ht="15" hidden="false" customHeight="false" outlineLevel="0" collapsed="false">
      <c r="A481" s="0" t="s">
        <v>1169</v>
      </c>
      <c r="B481" s="0" t="s">
        <v>1170</v>
      </c>
      <c r="C481" s="0" t="s">
        <v>31</v>
      </c>
      <c r="D481" s="15" t="n">
        <v>1056.193</v>
      </c>
      <c r="E481" s="15" t="n">
        <v>1044.24</v>
      </c>
      <c r="F481" s="15" t="n">
        <v>1682.782</v>
      </c>
      <c r="G481" s="15" t="n">
        <v>1594.856</v>
      </c>
      <c r="H481" s="15" t="n">
        <v>1097.17</v>
      </c>
      <c r="I481" s="15" t="n">
        <v>450.386</v>
      </c>
      <c r="J481" s="15" t="n">
        <v>345.303</v>
      </c>
      <c r="K481" s="15" t="n">
        <v>547.918</v>
      </c>
      <c r="L481" s="15" t="n">
        <v>466.095</v>
      </c>
      <c r="M481" s="15" t="n">
        <v>361.607</v>
      </c>
      <c r="N481" s="16" t="n">
        <v>-0.0373479041534128</v>
      </c>
      <c r="O481" s="16" t="n">
        <v>0.245512393288847</v>
      </c>
      <c r="P481" s="16" t="n">
        <v>0.0114466023136444</v>
      </c>
      <c r="Q481" s="16" t="n">
        <v>-0.379456162473808</v>
      </c>
      <c r="R481" s="16" t="n">
        <v>0.0551309961526307</v>
      </c>
      <c r="S481" s="16" t="n">
        <v>0.453608829989883</v>
      </c>
      <c r="V481" s="17" t="s">
        <v>34</v>
      </c>
      <c r="W481" s="18" t="n">
        <v>219.17</v>
      </c>
      <c r="X481" s="18" t="n">
        <v>191.97</v>
      </c>
      <c r="Y481" s="16" t="n">
        <f aca="false">IF(AND(ISNUMBER(W481),ISNUMBER(X481)),X481/W481-1,"")</f>
        <v>-0.124104576356253</v>
      </c>
      <c r="Z481" s="16" t="n">
        <v>-0.124104563468926</v>
      </c>
      <c r="AA481" s="16" t="n">
        <v>0.0857887621946754</v>
      </c>
      <c r="AB481" s="19" t="s">
        <v>35</v>
      </c>
      <c r="AC481" s="16" t="n">
        <f aca="false">IF(AND(ISNUMBER(N481),ISNUMBER(AA481)),N481-AA481,"")</f>
        <v>-0.123136666348088</v>
      </c>
    </row>
    <row r="482" customFormat="false" ht="15" hidden="false" customHeight="false" outlineLevel="0" collapsed="false">
      <c r="A482" s="0" t="s">
        <v>1171</v>
      </c>
      <c r="B482" s="0" t="s">
        <v>1172</v>
      </c>
      <c r="C482" s="0" t="s">
        <v>31</v>
      </c>
      <c r="D482" s="15" t="n">
        <v>1765.3</v>
      </c>
      <c r="E482" s="15" t="n">
        <v>3617.005</v>
      </c>
      <c r="F482" s="15" t="n">
        <v>2273.906</v>
      </c>
      <c r="G482" s="15" t="n">
        <v>1822.787</v>
      </c>
      <c r="H482" s="15" t="n">
        <v>1837.755</v>
      </c>
      <c r="I482" s="15" t="n">
        <v>359.207</v>
      </c>
      <c r="J482" s="15" t="n">
        <v>2278.027</v>
      </c>
      <c r="K482" s="15" t="n">
        <v>950.748</v>
      </c>
      <c r="L482" s="15" t="n">
        <v>465.279</v>
      </c>
      <c r="M482" s="15" t="n">
        <v>420.318</v>
      </c>
      <c r="N482" s="16" t="n">
        <v>-0.0394258211785575</v>
      </c>
      <c r="O482" s="16" t="n">
        <v>-0.145392298212306</v>
      </c>
      <c r="P482" s="16" t="n">
        <v>-0.51194427433747</v>
      </c>
      <c r="Q482" s="16" t="n">
        <v>0.590657221538621</v>
      </c>
      <c r="R482" s="16" t="n">
        <v>0.247488598503281</v>
      </c>
      <c r="S482" s="16" t="n">
        <v>-0.00814472005245526</v>
      </c>
      <c r="V482" s="17" t="s">
        <v>80</v>
      </c>
      <c r="W482" s="18" t="n">
        <v>53.08</v>
      </c>
      <c r="X482" s="18" t="n">
        <v>51.06</v>
      </c>
      <c r="Y482" s="16" t="n">
        <f aca="false">IF(AND(ISNUMBER(W482),ISNUMBER(X482)),X482/W482-1,"")</f>
        <v>-0.0380557648831951</v>
      </c>
      <c r="Z482" s="16" t="n">
        <v>-0.0267162567238742</v>
      </c>
      <c r="AA482" s="16" t="n">
        <v>1.68523546160048</v>
      </c>
      <c r="AB482" s="19" t="s">
        <v>35</v>
      </c>
      <c r="AC482" s="16" t="n">
        <f aca="false">IF(AND(ISNUMBER(N482),ISNUMBER(AA482)),N482-AA482,"")</f>
        <v>-1.72466128277904</v>
      </c>
    </row>
    <row r="483" customFormat="false" ht="15" hidden="false" customHeight="false" outlineLevel="0" collapsed="false">
      <c r="A483" s="0" t="s">
        <v>1173</v>
      </c>
      <c r="B483" s="0" t="s">
        <v>1174</v>
      </c>
      <c r="C483" s="0" t="s">
        <v>31</v>
      </c>
      <c r="D483" s="15" t="n">
        <v>3576.164</v>
      </c>
      <c r="E483" s="15" t="n">
        <v>3667.489</v>
      </c>
      <c r="F483" s="15" t="n">
        <v>3796.014</v>
      </c>
      <c r="G483" s="15" t="n">
        <v>3614.258</v>
      </c>
      <c r="H483" s="15" t="n">
        <v>3724.959</v>
      </c>
      <c r="I483" s="15" t="n">
        <v>510.652</v>
      </c>
      <c r="J483" s="15" t="n">
        <v>326.688</v>
      </c>
      <c r="K483" s="15" t="n">
        <v>370.812</v>
      </c>
      <c r="L483" s="15" t="n">
        <v>-160.407</v>
      </c>
      <c r="M483" s="15" t="n">
        <v>-213.408</v>
      </c>
      <c r="N483" s="16" t="n">
        <v>-0.0399454061105102</v>
      </c>
      <c r="O483" s="20" t="s">
        <v>110</v>
      </c>
      <c r="P483" s="16" t="n">
        <v>-0.0249012335142654</v>
      </c>
      <c r="Q483" s="16" t="n">
        <v>-0.0338578835589121</v>
      </c>
      <c r="R483" s="16" t="n">
        <v>0.0502886069561166</v>
      </c>
      <c r="S483" s="16" t="n">
        <v>-0.0297187163670795</v>
      </c>
      <c r="V483" s="17" t="s">
        <v>76</v>
      </c>
      <c r="W483" s="18" t="n">
        <v>73.1</v>
      </c>
      <c r="X483" s="18" t="n">
        <v>92.72</v>
      </c>
      <c r="Y483" s="16" t="n">
        <f aca="false">IF(AND(ISNUMBER(W483),ISNUMBER(X483)),X483/W483-1,"")</f>
        <v>0.268399452804378</v>
      </c>
      <c r="Z483" s="16" t="n">
        <v>0.268399495979852</v>
      </c>
      <c r="AA483" s="16" t="n">
        <v>-0.0576287249057682</v>
      </c>
      <c r="AC483" s="16" t="n">
        <f aca="false">IF(AND(ISNUMBER(N483),ISNUMBER(AA483)),N483-AA483,"")</f>
        <v>0.017683318795258</v>
      </c>
    </row>
    <row r="484" customFormat="false" ht="15" hidden="false" customHeight="false" outlineLevel="0" collapsed="false">
      <c r="A484" s="0" t="s">
        <v>1175</v>
      </c>
      <c r="B484" s="0" t="s">
        <v>1176</v>
      </c>
      <c r="C484" s="0" t="s">
        <v>31</v>
      </c>
      <c r="D484" s="15" t="n">
        <v>9947</v>
      </c>
      <c r="E484" s="15" t="n">
        <v>10599</v>
      </c>
      <c r="F484" s="15" t="n">
        <v>12252</v>
      </c>
      <c r="G484" s="15" t="n">
        <v>11271</v>
      </c>
      <c r="H484" s="15" t="n">
        <v>10365</v>
      </c>
      <c r="I484" s="15" t="n">
        <v>1626</v>
      </c>
      <c r="J484" s="15" t="n">
        <v>2309</v>
      </c>
      <c r="K484" s="15" t="n">
        <v>3366</v>
      </c>
      <c r="L484" s="15" t="n">
        <v>2957</v>
      </c>
      <c r="M484" s="15" t="n">
        <v>2762</v>
      </c>
      <c r="N484" s="16" t="n">
        <v>-0.0403280270139894</v>
      </c>
      <c r="O484" s="16" t="n">
        <v>-0.411296162201303</v>
      </c>
      <c r="P484" s="16" t="n">
        <v>-0.0615152372865365</v>
      </c>
      <c r="Q484" s="16" t="n">
        <v>-0.134916748285994</v>
      </c>
      <c r="R484" s="16" t="n">
        <v>0.0870375299441044</v>
      </c>
      <c r="S484" s="16" t="n">
        <v>0.0874095513748192</v>
      </c>
      <c r="V484" s="17" t="s">
        <v>34</v>
      </c>
      <c r="W484" s="18" t="n">
        <v>173.55</v>
      </c>
      <c r="X484" s="18" t="n">
        <v>197.24</v>
      </c>
      <c r="Y484" s="16" t="n">
        <f aca="false">IF(AND(ISNUMBER(W484),ISNUMBER(X484)),X484/W484-1,"")</f>
        <v>0.136502448861999</v>
      </c>
      <c r="Z484" s="16" t="n">
        <v>0.160169930247929</v>
      </c>
      <c r="AA484" s="16" t="n">
        <v>0.103481315873523</v>
      </c>
      <c r="AC484" s="16" t="n">
        <f aca="false">IF(AND(ISNUMBER(N484),ISNUMBER(AA484)),N484-AA484,"")</f>
        <v>-0.143809342887512</v>
      </c>
    </row>
    <row r="485" customFormat="false" ht="15" hidden="false" customHeight="false" outlineLevel="0" collapsed="false">
      <c r="A485" s="0" t="s">
        <v>1177</v>
      </c>
      <c r="B485" s="0" t="s">
        <v>1178</v>
      </c>
      <c r="C485" s="0" t="s">
        <v>31</v>
      </c>
      <c r="D485" s="15" t="n">
        <v>5292</v>
      </c>
      <c r="E485" s="15" t="n">
        <v>5027</v>
      </c>
      <c r="F485" s="15" t="n">
        <v>5284</v>
      </c>
      <c r="G485" s="15" t="n">
        <v>5263</v>
      </c>
      <c r="H485" s="15" t="n">
        <v>5516</v>
      </c>
      <c r="I485" s="15" t="n">
        <v>1009</v>
      </c>
      <c r="J485" s="15" t="n">
        <v>835</v>
      </c>
      <c r="K485" s="15" t="n">
        <v>1288</v>
      </c>
      <c r="L485" s="15" t="n">
        <v>1336</v>
      </c>
      <c r="M485" s="15" t="n">
        <v>1699</v>
      </c>
      <c r="N485" s="16" t="n">
        <v>-0.0406091370558376</v>
      </c>
      <c r="O485" s="16" t="n">
        <v>-0.406121247792819</v>
      </c>
      <c r="P485" s="16" t="n">
        <v>0.0527153371792322</v>
      </c>
      <c r="Q485" s="16" t="n">
        <v>-0.0486373959121877</v>
      </c>
      <c r="R485" s="16" t="n">
        <v>0.0039901197035912</v>
      </c>
      <c r="S485" s="16" t="n">
        <v>-0.0458665699782451</v>
      </c>
      <c r="V485" s="17" t="s">
        <v>51</v>
      </c>
      <c r="W485" s="18" t="n">
        <v>130.59</v>
      </c>
      <c r="X485" s="18" t="n">
        <v>45.95</v>
      </c>
      <c r="Y485" s="16" t="n">
        <f aca="false">IF(AND(ISNUMBER(W485),ISNUMBER(X485)),X485/W485-1,"")</f>
        <v>-0.648135385557853</v>
      </c>
      <c r="Z485" s="16" t="n">
        <v>-0.648135369848333</v>
      </c>
      <c r="AA485" s="16" t="n">
        <v>0.080086156256119</v>
      </c>
      <c r="AC485" s="16" t="n">
        <f aca="false">IF(AND(ISNUMBER(N485),ISNUMBER(AA485)),N485-AA485,"")</f>
        <v>-0.120695293311957</v>
      </c>
    </row>
    <row r="486" customFormat="false" ht="15" hidden="false" customHeight="false" outlineLevel="0" collapsed="false">
      <c r="A486" s="0" t="s">
        <v>1179</v>
      </c>
      <c r="B486" s="0" t="s">
        <v>1180</v>
      </c>
      <c r="C486" s="0" t="s">
        <v>31</v>
      </c>
      <c r="D486" s="15" t="n">
        <v>4357</v>
      </c>
      <c r="E486" s="15" t="n">
        <v>4103</v>
      </c>
      <c r="F486" s="15" t="n">
        <v>5213</v>
      </c>
      <c r="G486" s="15" t="n">
        <v>5750</v>
      </c>
      <c r="H486" s="15" t="n">
        <v>4543</v>
      </c>
      <c r="I486" s="15" t="n">
        <v>1092</v>
      </c>
      <c r="J486" s="15" t="n">
        <v>1068</v>
      </c>
      <c r="K486" s="15" t="n">
        <v>802</v>
      </c>
      <c r="L486" s="15" t="n">
        <v>1520</v>
      </c>
      <c r="M486" s="15" t="n">
        <v>775</v>
      </c>
      <c r="N486" s="16" t="n">
        <v>-0.040942108738719</v>
      </c>
      <c r="O486" s="16" t="n">
        <v>0.409032258064516</v>
      </c>
      <c r="P486" s="16" t="n">
        <v>0.0619059224957348</v>
      </c>
      <c r="Q486" s="16" t="n">
        <v>-0.212929215422981</v>
      </c>
      <c r="R486" s="16" t="n">
        <v>-0.0933913043478261</v>
      </c>
      <c r="S486" s="16" t="n">
        <v>0.2656834690733</v>
      </c>
      <c r="V486" s="17" t="s">
        <v>134</v>
      </c>
      <c r="W486" s="18" t="n">
        <v>55.04</v>
      </c>
      <c r="X486" s="18" t="n">
        <v>53.51</v>
      </c>
      <c r="Y486" s="16" t="n">
        <f aca="false">IF(AND(ISNUMBER(W486),ISNUMBER(X486)),X486/W486-1,"")</f>
        <v>-0.0277979651162791</v>
      </c>
      <c r="Z486" s="16" t="n">
        <v>0.0257798455566889</v>
      </c>
      <c r="AA486" s="16" t="n">
        <v>0.047739852398524</v>
      </c>
      <c r="AB486" s="19" t="s">
        <v>35</v>
      </c>
      <c r="AC486" s="16" t="n">
        <f aca="false">IF(AND(ISNUMBER(N486),ISNUMBER(AA486)),N486-AA486,"")</f>
        <v>-0.0886819611372429</v>
      </c>
    </row>
    <row r="487" customFormat="false" ht="15" hidden="false" customHeight="false" outlineLevel="0" collapsed="false">
      <c r="A487" s="0" t="s">
        <v>1181</v>
      </c>
      <c r="B487" s="0" t="s">
        <v>1182</v>
      </c>
      <c r="C487" s="0" t="s">
        <v>38</v>
      </c>
      <c r="D487" s="15" t="n">
        <v>2415.631</v>
      </c>
      <c r="E487" s="15" t="n">
        <v>2471.603</v>
      </c>
      <c r="F487" s="15" t="n">
        <v>3640.801</v>
      </c>
      <c r="G487" s="15" t="n">
        <v>2565.92</v>
      </c>
      <c r="H487" s="15" t="n">
        <v>2525.219</v>
      </c>
      <c r="I487" s="15" t="n">
        <v>453.653</v>
      </c>
      <c r="J487" s="15" t="n">
        <v>276.946</v>
      </c>
      <c r="K487" s="15" t="n">
        <v>812.29</v>
      </c>
      <c r="L487" s="15" t="n">
        <v>435.886</v>
      </c>
      <c r="M487" s="15" t="n">
        <v>523.814</v>
      </c>
      <c r="N487" s="16" t="n">
        <v>-0.0433974241442029</v>
      </c>
      <c r="O487" s="16" t="n">
        <v>-0.133942582672475</v>
      </c>
      <c r="P487" s="16" t="n">
        <v>-0.0226460317453895</v>
      </c>
      <c r="Q487" s="16" t="n">
        <v>-0.321137573847074</v>
      </c>
      <c r="R487" s="16" t="n">
        <v>0.418906668953046</v>
      </c>
      <c r="S487" s="16" t="n">
        <v>0.0161178099800452</v>
      </c>
      <c r="V487" s="17" t="s">
        <v>43</v>
      </c>
      <c r="W487" s="18" t="n">
        <v>179.22</v>
      </c>
      <c r="X487" s="18" t="n">
        <v>102.28</v>
      </c>
      <c r="Y487" s="16" t="n">
        <f aca="false">IF(AND(ISNUMBER(W487),ISNUMBER(X487)),X487/W487-1,"")</f>
        <v>-0.429304765093182</v>
      </c>
      <c r="Z487" s="16" t="n">
        <v>-0.4293047757915</v>
      </c>
      <c r="AA487" s="16" t="n">
        <v>0.0650088272085525</v>
      </c>
      <c r="AC487" s="16" t="n">
        <f aca="false">IF(AND(ISNUMBER(N487),ISNUMBER(AA487)),N487-AA487,"")</f>
        <v>-0.108406251352755</v>
      </c>
    </row>
    <row r="488" customFormat="false" ht="15" hidden="false" customHeight="false" outlineLevel="0" collapsed="false">
      <c r="A488" s="0" t="s">
        <v>1183</v>
      </c>
      <c r="B488" s="0" t="s">
        <v>1184</v>
      </c>
      <c r="C488" s="0" t="s">
        <v>31</v>
      </c>
      <c r="D488" s="15" t="n">
        <v>1008</v>
      </c>
      <c r="E488" s="15" t="n">
        <v>1010</v>
      </c>
      <c r="F488" s="15" t="n">
        <v>1071</v>
      </c>
      <c r="G488" s="15" t="n">
        <v>1072</v>
      </c>
      <c r="H488" s="15" t="n">
        <v>1060</v>
      </c>
      <c r="I488" s="15" t="n">
        <v>472</v>
      </c>
      <c r="J488" s="15" t="n">
        <v>482</v>
      </c>
      <c r="K488" s="15" t="n">
        <v>527</v>
      </c>
      <c r="L488" s="15" t="n">
        <v>528</v>
      </c>
      <c r="M488" s="15" t="n">
        <v>508</v>
      </c>
      <c r="N488" s="16" t="n">
        <v>-0.0490566037735849</v>
      </c>
      <c r="O488" s="16" t="n">
        <v>-0.0708661417322835</v>
      </c>
      <c r="P488" s="16" t="n">
        <v>-0.00198019801980198</v>
      </c>
      <c r="Q488" s="16" t="n">
        <v>-0.0569561157796452</v>
      </c>
      <c r="R488" s="16" t="n">
        <v>-0.000932835820895539</v>
      </c>
      <c r="S488" s="16" t="n">
        <v>0.0113207547169811</v>
      </c>
      <c r="V488" s="17" t="s">
        <v>535</v>
      </c>
      <c r="W488" s="18" t="n">
        <v>93.71</v>
      </c>
      <c r="X488" s="18" t="n">
        <v>70.23</v>
      </c>
      <c r="Y488" s="16" t="n">
        <f aca="false">IF(AND(ISNUMBER(W488),ISNUMBER(X488)),X488/W488-1,"")</f>
        <v>-0.250560239035322</v>
      </c>
      <c r="Z488" s="16" t="n">
        <v>-0.211967188709607</v>
      </c>
      <c r="AA488" s="16" t="n">
        <v>-0.042457091237579</v>
      </c>
      <c r="AC488" s="16" t="n">
        <f aca="false">IF(AND(ISNUMBER(N488),ISNUMBER(AA488)),N488-AA488,"")</f>
        <v>-0.00659951253600588</v>
      </c>
    </row>
    <row r="489" customFormat="false" ht="15" hidden="false" customHeight="false" outlineLevel="0" collapsed="false">
      <c r="A489" s="0" t="s">
        <v>1185</v>
      </c>
      <c r="B489" s="0" t="s">
        <v>1186</v>
      </c>
      <c r="C489" s="0" t="s">
        <v>31</v>
      </c>
      <c r="D489" s="15" t="n">
        <v>3119</v>
      </c>
      <c r="E489" s="15" t="n">
        <v>4021</v>
      </c>
      <c r="F489" s="15" t="n">
        <v>3561</v>
      </c>
      <c r="G489" s="15" t="n">
        <v>3915</v>
      </c>
      <c r="H489" s="15" t="n">
        <v>3287</v>
      </c>
      <c r="I489" s="15" t="n">
        <v>709</v>
      </c>
      <c r="J489" s="15" t="n">
        <v>732</v>
      </c>
      <c r="K489" s="15" t="n">
        <v>589</v>
      </c>
      <c r="L489" s="15" t="n">
        <v>1036</v>
      </c>
      <c r="M489" s="15" t="n">
        <v>577</v>
      </c>
      <c r="N489" s="16" t="n">
        <v>-0.0511104350471555</v>
      </c>
      <c r="O489" s="16" t="n">
        <v>0.228769497400347</v>
      </c>
      <c r="P489" s="16" t="n">
        <v>-0.224322307883611</v>
      </c>
      <c r="Q489" s="16" t="n">
        <v>0.129177197416456</v>
      </c>
      <c r="R489" s="16" t="n">
        <v>-0.0904214559386973</v>
      </c>
      <c r="S489" s="16" t="n">
        <v>0.191055673866748</v>
      </c>
      <c r="V489" s="17" t="s">
        <v>134</v>
      </c>
      <c r="W489" s="18" t="n">
        <v>77.93</v>
      </c>
      <c r="X489" s="18" t="n">
        <v>70.66</v>
      </c>
      <c r="Y489" s="16" t="n">
        <f aca="false">IF(AND(ISNUMBER(W489),ISNUMBER(X489)),X489/W489-1,"")</f>
        <v>-0.0932888489670218</v>
      </c>
      <c r="Z489" s="16" t="n">
        <v>-0.0651192096793047</v>
      </c>
      <c r="AA489" s="16" t="n">
        <v>0.0855350066050198</v>
      </c>
      <c r="AC489" s="16" t="n">
        <f aca="false">IF(AND(ISNUMBER(N489),ISNUMBER(AA489)),N489-AA489,"")</f>
        <v>-0.136645441652175</v>
      </c>
    </row>
    <row r="490" customFormat="false" ht="15" hidden="false" customHeight="false" outlineLevel="0" collapsed="false">
      <c r="A490" s="0" t="s">
        <v>1187</v>
      </c>
      <c r="B490" s="0" t="s">
        <v>1188</v>
      </c>
      <c r="C490" s="0" t="s">
        <v>31</v>
      </c>
      <c r="D490" s="15" t="n">
        <v>4017</v>
      </c>
      <c r="E490" s="15" t="n">
        <v>5640</v>
      </c>
      <c r="F490" s="15" t="n">
        <v>4584</v>
      </c>
      <c r="G490" s="15" t="n">
        <v>4971</v>
      </c>
      <c r="H490" s="15" t="n">
        <v>4250</v>
      </c>
      <c r="I490" s="15" t="n">
        <v>553</v>
      </c>
      <c r="J490" s="15" t="n">
        <v>1499</v>
      </c>
      <c r="K490" s="15" t="n">
        <v>629</v>
      </c>
      <c r="L490" s="15" t="n">
        <v>1042</v>
      </c>
      <c r="M490" s="15" t="n">
        <v>583</v>
      </c>
      <c r="N490" s="16" t="n">
        <v>-0.0548235294117647</v>
      </c>
      <c r="O490" s="16" t="n">
        <v>-0.0514579759862779</v>
      </c>
      <c r="P490" s="16" t="n">
        <v>-0.287765957446809</v>
      </c>
      <c r="Q490" s="16" t="n">
        <v>0.230366492146597</v>
      </c>
      <c r="R490" s="16" t="n">
        <v>-0.0778515389257695</v>
      </c>
      <c r="S490" s="16" t="n">
        <v>0.16964705882353</v>
      </c>
      <c r="V490" s="17" t="s">
        <v>134</v>
      </c>
      <c r="W490" s="18" t="n">
        <v>202.06</v>
      </c>
      <c r="X490" s="18" t="n">
        <v>137.97</v>
      </c>
      <c r="Y490" s="16" t="n">
        <f aca="false">IF(AND(ISNUMBER(W490),ISNUMBER(X490)),X490/W490-1,"")</f>
        <v>-0.317183014946056</v>
      </c>
      <c r="Z490" s="16" t="n">
        <v>-0.313216500664908</v>
      </c>
      <c r="AA490" s="16" t="n">
        <v>0.105331599479844</v>
      </c>
      <c r="AC490" s="16" t="n">
        <f aca="false">IF(AND(ISNUMBER(N490),ISNUMBER(AA490)),N490-AA490,"")</f>
        <v>-0.160155128891609</v>
      </c>
    </row>
    <row r="491" customFormat="false" ht="15" hidden="false" customHeight="false" outlineLevel="0" collapsed="false">
      <c r="A491" s="0" t="s">
        <v>1189</v>
      </c>
      <c r="B491" s="0" t="s">
        <v>1190</v>
      </c>
      <c r="C491" s="0" t="s">
        <v>31</v>
      </c>
      <c r="D491" s="15" t="n">
        <v>2824.1</v>
      </c>
      <c r="E491" s="15" t="n">
        <v>2998</v>
      </c>
      <c r="F491" s="15" t="n">
        <v>2973.7</v>
      </c>
      <c r="G491" s="15" t="n">
        <v>3452.1</v>
      </c>
      <c r="H491" s="15" t="n">
        <v>3005.7</v>
      </c>
      <c r="I491" s="15" t="n">
        <v>-29.3</v>
      </c>
      <c r="J491" s="15" t="n">
        <v>-140.3</v>
      </c>
      <c r="K491" s="15" t="n">
        <v>156</v>
      </c>
      <c r="L491" s="15" t="n">
        <v>339.8</v>
      </c>
      <c r="M491" s="15" t="n">
        <v>244.4</v>
      </c>
      <c r="N491" s="16" t="n">
        <v>-0.0604185381109226</v>
      </c>
      <c r="O491" s="20" t="s">
        <v>153</v>
      </c>
      <c r="P491" s="16" t="n">
        <v>-0.0580053368912609</v>
      </c>
      <c r="Q491" s="16" t="n">
        <v>0.00817163802670073</v>
      </c>
      <c r="R491" s="16" t="n">
        <v>-0.138582312215753</v>
      </c>
      <c r="S491" s="16" t="n">
        <v>0.148517816149316</v>
      </c>
      <c r="V491" s="17" t="s">
        <v>104</v>
      </c>
      <c r="W491" s="18" t="n">
        <v>35.93</v>
      </c>
      <c r="X491" s="18" t="n">
        <v>24.37</v>
      </c>
      <c r="Y491" s="16" t="n">
        <f aca="false">IF(AND(ISNUMBER(W491),ISNUMBER(X491)),X491/W491-1,"")</f>
        <v>-0.321736710269969</v>
      </c>
      <c r="Z491" s="16" t="n">
        <v>-0.296825325891595</v>
      </c>
      <c r="AA491" s="16" t="n">
        <v>0.0671376837321593</v>
      </c>
      <c r="AB491" s="19" t="s">
        <v>35</v>
      </c>
      <c r="AC491" s="16" t="n">
        <f aca="false">IF(AND(ISNUMBER(N491),ISNUMBER(AA491)),N491-AA491,"")</f>
        <v>-0.127556221843082</v>
      </c>
    </row>
    <row r="492" customFormat="false" ht="15" hidden="false" customHeight="false" outlineLevel="0" collapsed="false">
      <c r="A492" s="0" t="s">
        <v>1191</v>
      </c>
      <c r="B492" s="0" t="s">
        <v>1192</v>
      </c>
      <c r="C492" s="0" t="s">
        <v>31</v>
      </c>
      <c r="D492" s="15" t="n">
        <v>600.049</v>
      </c>
      <c r="E492" s="15" t="n">
        <v>774.303</v>
      </c>
      <c r="F492" s="15" t="n">
        <v>685.825</v>
      </c>
      <c r="G492" s="15" t="n">
        <v>893.795</v>
      </c>
      <c r="H492" s="15" t="n">
        <v>643.937</v>
      </c>
      <c r="I492" s="15" t="n">
        <v>166.506</v>
      </c>
      <c r="J492" s="15" t="n">
        <v>295.802</v>
      </c>
      <c r="K492" s="15" t="n">
        <v>221.131</v>
      </c>
      <c r="L492" s="15" t="n">
        <v>444.999</v>
      </c>
      <c r="M492" s="15" t="n">
        <v>209.828</v>
      </c>
      <c r="N492" s="16" t="n">
        <v>-0.0681557357319117</v>
      </c>
      <c r="O492" s="16" t="n">
        <v>-0.206464342223154</v>
      </c>
      <c r="P492" s="16" t="n">
        <v>-0.225046267417277</v>
      </c>
      <c r="Q492" s="16" t="n">
        <v>0.129009586993767</v>
      </c>
      <c r="R492" s="16" t="n">
        <v>-0.232681990836825</v>
      </c>
      <c r="S492" s="16" t="n">
        <v>0.388016218977944</v>
      </c>
      <c r="V492" s="17" t="s">
        <v>34</v>
      </c>
      <c r="W492" s="18" t="n">
        <v>203.6</v>
      </c>
      <c r="X492" s="18" t="n">
        <v>140.4</v>
      </c>
      <c r="Y492" s="16" t="n">
        <f aca="false">IF(AND(ISNUMBER(W492),ISNUMBER(X492)),X492/W492-1,"")</f>
        <v>-0.31041257367387</v>
      </c>
      <c r="Z492" s="16" t="n">
        <v>-0.310412624324278</v>
      </c>
      <c r="AA492" s="16" t="n">
        <v>0.241590007693213</v>
      </c>
      <c r="AC492" s="16" t="n">
        <f aca="false">IF(AND(ISNUMBER(N492),ISNUMBER(AA492)),N492-AA492,"")</f>
        <v>-0.309745743425124</v>
      </c>
    </row>
    <row r="493" customFormat="false" ht="15" hidden="false" customHeight="false" outlineLevel="0" collapsed="false">
      <c r="A493" s="0" t="s">
        <v>1193</v>
      </c>
      <c r="B493" s="0" t="s">
        <v>1194</v>
      </c>
      <c r="C493" s="0" t="s">
        <v>31</v>
      </c>
      <c r="D493" s="15" t="n">
        <v>2554</v>
      </c>
      <c r="E493" s="15" t="n">
        <v>3848</v>
      </c>
      <c r="F493" s="15" t="n">
        <v>2915</v>
      </c>
      <c r="G493" s="15" t="n">
        <v>3226</v>
      </c>
      <c r="H493" s="15" t="n">
        <v>2805</v>
      </c>
      <c r="I493" s="15" t="n">
        <v>461</v>
      </c>
      <c r="J493" s="15" t="n">
        <v>1075</v>
      </c>
      <c r="K493" s="15" t="n">
        <v>511</v>
      </c>
      <c r="L493" s="15" t="n">
        <v>855</v>
      </c>
      <c r="M493" s="15" t="n">
        <v>817</v>
      </c>
      <c r="N493" s="16" t="n">
        <v>-0.0894830659536542</v>
      </c>
      <c r="O493" s="16" t="n">
        <v>-0.435740514075887</v>
      </c>
      <c r="P493" s="16" t="n">
        <v>-0.336278586278586</v>
      </c>
      <c r="Q493" s="16" t="n">
        <v>0.320068610634648</v>
      </c>
      <c r="R493" s="16" t="n">
        <v>-0.0964042157470552</v>
      </c>
      <c r="S493" s="16" t="n">
        <v>0.150089126559715</v>
      </c>
      <c r="V493" s="17" t="s">
        <v>134</v>
      </c>
      <c r="W493" s="18" t="n">
        <v>82.4</v>
      </c>
      <c r="X493" s="18" t="n">
        <v>67.31</v>
      </c>
      <c r="Y493" s="16" t="n">
        <f aca="false">IF(AND(ISNUMBER(W493),ISNUMBER(X493)),X493/W493-1,"")</f>
        <v>-0.183131067961165</v>
      </c>
      <c r="Z493" s="16" t="n">
        <v>-0.155134300080939</v>
      </c>
      <c r="AA493" s="16" t="n">
        <v>0.157655798596781</v>
      </c>
      <c r="AC493" s="16" t="n">
        <f aca="false">IF(AND(ISNUMBER(N493),ISNUMBER(AA493)),N493-AA493,"")</f>
        <v>-0.247138864550435</v>
      </c>
    </row>
    <row r="494" customFormat="false" ht="15" hidden="false" customHeight="false" outlineLevel="0" collapsed="false">
      <c r="A494" s="0" t="s">
        <v>1195</v>
      </c>
      <c r="B494" s="0" t="s">
        <v>1196</v>
      </c>
      <c r="C494" s="0" t="s">
        <v>31</v>
      </c>
      <c r="D494" s="15" t="n">
        <v>4489</v>
      </c>
      <c r="E494" s="15" t="n">
        <v>4371</v>
      </c>
      <c r="F494" s="15" t="n">
        <v>4762</v>
      </c>
      <c r="G494" s="15" t="n">
        <v>4973</v>
      </c>
      <c r="H494" s="15" t="n">
        <v>4973</v>
      </c>
      <c r="N494" s="16" t="n">
        <v>-0.0973255580132717</v>
      </c>
      <c r="P494" s="16" t="n">
        <v>0.02699611072981</v>
      </c>
      <c r="Q494" s="16" t="n">
        <v>-0.0821083578328433</v>
      </c>
      <c r="R494" s="16" t="n">
        <v>-0.0424291172330585</v>
      </c>
      <c r="S494" s="16" t="n">
        <v>0</v>
      </c>
      <c r="V494" s="17" t="s">
        <v>51</v>
      </c>
      <c r="W494" s="18" t="n">
        <v>90.76</v>
      </c>
      <c r="X494" s="18" t="n">
        <v>95.16</v>
      </c>
      <c r="Y494" s="16" t="n">
        <f aca="false">IF(AND(ISNUMBER(W494),ISNUMBER(X494)),X494/W494-1,"")</f>
        <v>0.0484795063904804</v>
      </c>
      <c r="Z494" s="16" t="n">
        <v>0.0484795220616514</v>
      </c>
      <c r="AA494" s="16" t="n">
        <v>0.232679120359423</v>
      </c>
      <c r="AB494" s="19" t="s">
        <v>35</v>
      </c>
      <c r="AC494" s="16" t="n">
        <f aca="false">IF(AND(ISNUMBER(N494),ISNUMBER(AA494)),N494-AA494,"")</f>
        <v>-0.330004678372695</v>
      </c>
    </row>
    <row r="495" customFormat="false" ht="15" hidden="false" customHeight="false" outlineLevel="0" collapsed="false">
      <c r="A495" s="0" t="s">
        <v>1197</v>
      </c>
      <c r="B495" s="0" t="s">
        <v>1198</v>
      </c>
      <c r="C495" s="0" t="s">
        <v>31</v>
      </c>
      <c r="D495" s="15" t="n">
        <v>8717</v>
      </c>
      <c r="E495" s="15" t="n">
        <v>8893</v>
      </c>
      <c r="F495" s="15" t="n">
        <v>9460</v>
      </c>
      <c r="G495" s="15" t="n">
        <v>9045</v>
      </c>
      <c r="H495" s="15" t="n">
        <v>9812</v>
      </c>
      <c r="I495" s="15" t="n">
        <v>373</v>
      </c>
      <c r="J495" s="15" t="n">
        <v>549</v>
      </c>
      <c r="K495" s="15" t="n">
        <v>536</v>
      </c>
      <c r="L495" s="15" t="n">
        <v>745</v>
      </c>
      <c r="M495" s="15" t="n">
        <v>-79</v>
      </c>
      <c r="N495" s="16" t="n">
        <v>-0.111598043212393</v>
      </c>
      <c r="O495" s="20" t="s">
        <v>110</v>
      </c>
      <c r="P495" s="16" t="n">
        <v>-0.0197908467333858</v>
      </c>
      <c r="Q495" s="16" t="n">
        <v>-0.0599365750528541</v>
      </c>
      <c r="R495" s="16" t="n">
        <v>0.0458817025981204</v>
      </c>
      <c r="S495" s="16" t="n">
        <v>-0.0781695882592743</v>
      </c>
      <c r="V495" s="17" t="s">
        <v>76</v>
      </c>
      <c r="W495" s="18" t="n">
        <v>19.82</v>
      </c>
      <c r="X495" s="18" t="n">
        <v>30.76</v>
      </c>
      <c r="Y495" s="16" t="n">
        <f aca="false">IF(AND(ISNUMBER(W495),ISNUMBER(X495)),X495/W495-1,"")</f>
        <v>0.55196770938446</v>
      </c>
      <c r="Z495" s="16" t="n">
        <v>0.551967744828699</v>
      </c>
      <c r="AA495" s="16" t="n">
        <v>0.0101925254813138</v>
      </c>
      <c r="AC495" s="16" t="n">
        <f aca="false">IF(AND(ISNUMBER(N495),ISNUMBER(AA495)),N495-AA495,"")</f>
        <v>-0.121790568693707</v>
      </c>
    </row>
    <row r="496" customFormat="false" ht="15" hidden="false" customHeight="false" outlineLevel="0" collapsed="false">
      <c r="A496" s="0" t="s">
        <v>1199</v>
      </c>
      <c r="B496" s="0" t="s">
        <v>1200</v>
      </c>
      <c r="C496" s="0" t="s">
        <v>31</v>
      </c>
      <c r="D496" s="15" t="n">
        <v>3910</v>
      </c>
      <c r="E496" s="15" t="n">
        <v>3950</v>
      </c>
      <c r="F496" s="15" t="n">
        <v>4321</v>
      </c>
      <c r="G496" s="15" t="n">
        <v>4254</v>
      </c>
      <c r="H496" s="15" t="n">
        <v>4404</v>
      </c>
      <c r="N496" s="16" t="n">
        <v>-0.112170753860127</v>
      </c>
      <c r="P496" s="16" t="n">
        <v>-0.0101265822784811</v>
      </c>
      <c r="Q496" s="16" t="n">
        <v>-0.0858597546864152</v>
      </c>
      <c r="R496" s="16" t="n">
        <v>0.0157498824635638</v>
      </c>
      <c r="S496" s="16" t="n">
        <v>-0.0340599455040872</v>
      </c>
      <c r="V496" s="17" t="s">
        <v>51</v>
      </c>
      <c r="W496" s="18" t="n">
        <v>345.54</v>
      </c>
      <c r="X496" s="18" t="n">
        <v>372.36</v>
      </c>
      <c r="Y496" s="16" t="n">
        <f aca="false">IF(AND(ISNUMBER(W496),ISNUMBER(X496)),X496/W496-1,"")</f>
        <v>0.0776176419517276</v>
      </c>
      <c r="Z496" s="16" t="n">
        <v>0.0967650017982049</v>
      </c>
      <c r="AA496" s="16" t="n">
        <v>0.0624556422995033</v>
      </c>
      <c r="AC496" s="16" t="n">
        <f aca="false">IF(AND(ISNUMBER(N496),ISNUMBER(AA496)),N496-AA496,"")</f>
        <v>-0.174626396159631</v>
      </c>
    </row>
    <row r="497" customFormat="false" ht="15" hidden="false" customHeight="false" outlineLevel="0" collapsed="false">
      <c r="A497" s="0" t="s">
        <v>1201</v>
      </c>
      <c r="B497" s="0" t="s">
        <v>1202</v>
      </c>
      <c r="C497" s="0" t="s">
        <v>31</v>
      </c>
      <c r="D497" s="15" t="n">
        <v>643.21</v>
      </c>
      <c r="E497" s="15" t="n">
        <v>653.013</v>
      </c>
      <c r="F497" s="15" t="n">
        <v>728.872</v>
      </c>
      <c r="G497" s="15" t="n">
        <v>735.849</v>
      </c>
      <c r="H497" s="15" t="n">
        <v>737.279</v>
      </c>
      <c r="I497" s="15" t="n">
        <v>94.629</v>
      </c>
      <c r="J497" s="15" t="n">
        <v>88.745</v>
      </c>
      <c r="K497" s="15" t="n">
        <v>146.246</v>
      </c>
      <c r="L497" s="15" t="n">
        <v>127.161</v>
      </c>
      <c r="M497" s="15" t="n">
        <v>137.595</v>
      </c>
      <c r="N497" s="16" t="n">
        <v>-0.127589420016032</v>
      </c>
      <c r="O497" s="16" t="n">
        <v>-0.312264253788292</v>
      </c>
      <c r="P497" s="16" t="n">
        <v>-0.0150119522888519</v>
      </c>
      <c r="Q497" s="16" t="n">
        <v>-0.104077259107223</v>
      </c>
      <c r="R497" s="16" t="n">
        <v>-0.0094815648319152</v>
      </c>
      <c r="S497" s="16" t="n">
        <v>-0.00193956426264685</v>
      </c>
      <c r="V497" s="17" t="s">
        <v>535</v>
      </c>
      <c r="W497" s="18" t="n">
        <v>85.89</v>
      </c>
      <c r="X497" s="18" t="n">
        <v>51.86</v>
      </c>
      <c r="Y497" s="16" t="n">
        <f aca="false">IF(AND(ISNUMBER(W497),ISNUMBER(X497)),X497/W497-1,"")</f>
        <v>-0.396204447549191</v>
      </c>
      <c r="Z497" s="16" t="n">
        <v>-0.359422980709072</v>
      </c>
      <c r="AA497" s="16" t="n">
        <v>-0.00612207101811058</v>
      </c>
      <c r="AC497" s="16" t="n">
        <f aca="false">IF(AND(ISNUMBER(N497),ISNUMBER(AA497)),N497-AA497,"")</f>
        <v>-0.121467348997921</v>
      </c>
    </row>
    <row r="498" customFormat="false" ht="15" hidden="false" customHeight="false" outlineLevel="0" collapsed="false">
      <c r="A498" s="0" t="s">
        <v>1203</v>
      </c>
      <c r="B498" s="0" t="s">
        <v>1204</v>
      </c>
      <c r="C498" s="0" t="s">
        <v>31</v>
      </c>
      <c r="D498" s="15" t="n">
        <v>6913</v>
      </c>
      <c r="E498" s="15" t="n">
        <v>7347</v>
      </c>
      <c r="F498" s="15" t="n">
        <v>6849</v>
      </c>
      <c r="G498" s="15" t="n">
        <v>7192</v>
      </c>
      <c r="H498" s="15" t="n">
        <v>7984</v>
      </c>
      <c r="I498" s="15" t="n">
        <v>663</v>
      </c>
      <c r="J498" s="15" t="n">
        <v>719</v>
      </c>
      <c r="K498" s="15" t="n">
        <v>737</v>
      </c>
      <c r="L498" s="15" t="n">
        <v>600</v>
      </c>
      <c r="M498" s="15" t="n">
        <v>311</v>
      </c>
      <c r="N498" s="16" t="n">
        <v>-0.134143286573146</v>
      </c>
      <c r="O498" s="16" t="n">
        <v>1.13183279742765</v>
      </c>
      <c r="P498" s="16" t="n">
        <v>-0.0590717299578059</v>
      </c>
      <c r="Q498" s="16" t="n">
        <v>0.0727113447218573</v>
      </c>
      <c r="R498" s="16" t="n">
        <v>-0.0476918798665184</v>
      </c>
      <c r="S498" s="16" t="n">
        <v>-0.0991983967935872</v>
      </c>
      <c r="V498" s="17" t="s">
        <v>76</v>
      </c>
      <c r="W498" s="18" t="n">
        <v>19.12</v>
      </c>
      <c r="X498" s="18" t="n">
        <v>9.96</v>
      </c>
      <c r="Y498" s="16" t="n">
        <f aca="false">IF(AND(ISNUMBER(W498),ISNUMBER(X498)),X498/W498-1,"")</f>
        <v>-0.47907949790795</v>
      </c>
      <c r="Z498" s="16" t="n">
        <v>-0.469417133026223</v>
      </c>
      <c r="AA498" s="16"/>
      <c r="AC498" s="16" t="str">
        <f aca="false">IF(AND(ISNUMBER(N498),ISNUMBER(AA498)),N498-AA498,"")</f>
        <v/>
      </c>
    </row>
    <row r="499" customFormat="false" ht="15" hidden="false" customHeight="false" outlineLevel="0" collapsed="false">
      <c r="A499" s="0" t="s">
        <v>1205</v>
      </c>
      <c r="B499" s="0" t="s">
        <v>1206</v>
      </c>
      <c r="C499" s="0" t="s">
        <v>31</v>
      </c>
      <c r="D499" s="15" t="n">
        <v>932.6</v>
      </c>
      <c r="E499" s="15" t="n">
        <v>1036.7</v>
      </c>
      <c r="F499" s="15" t="n">
        <v>1020.5</v>
      </c>
      <c r="G499" s="15" t="n">
        <v>1022</v>
      </c>
      <c r="H499" s="15" t="n">
        <v>1123.1</v>
      </c>
      <c r="I499" s="15" t="n">
        <v>166.5</v>
      </c>
      <c r="J499" s="15" t="n">
        <v>242.9</v>
      </c>
      <c r="K499" s="15" t="n">
        <v>216</v>
      </c>
      <c r="L499" s="15" t="n">
        <v>236.4</v>
      </c>
      <c r="M499" s="15" t="n">
        <v>217.7</v>
      </c>
      <c r="N499" s="16" t="n">
        <v>-0.169619802332829</v>
      </c>
      <c r="O499" s="16" t="n">
        <v>-0.235186035829123</v>
      </c>
      <c r="P499" s="16" t="n">
        <v>-0.100414777659882</v>
      </c>
      <c r="Q499" s="16" t="n">
        <v>0.0158745712885839</v>
      </c>
      <c r="R499" s="16" t="n">
        <v>-0.00146771037181992</v>
      </c>
      <c r="S499" s="16" t="n">
        <v>-0.0900186982459265</v>
      </c>
      <c r="V499" s="17" t="s">
        <v>47</v>
      </c>
      <c r="W499" s="18" t="n">
        <v>109</v>
      </c>
      <c r="X499" s="18" t="n">
        <v>55.25</v>
      </c>
      <c r="Y499" s="16" t="n">
        <f aca="false">IF(AND(ISNUMBER(W499),ISNUMBER(X499)),X499/W499-1,"")</f>
        <v>-0.493119266055046</v>
      </c>
      <c r="Z499" s="16" t="n">
        <v>-0.486914118157022</v>
      </c>
      <c r="AA499" s="16" t="n">
        <v>0.0216501409988175</v>
      </c>
      <c r="AB499" s="17" t="s">
        <v>32</v>
      </c>
      <c r="AC499" s="16" t="n">
        <f aca="false">IF(AND(ISNUMBER(N499),ISNUMBER(AA499)),N499-AA499,"")</f>
        <v>-0.191269943331646</v>
      </c>
    </row>
    <row r="500" customFormat="false" ht="15" hidden="false" customHeight="false" outlineLevel="0" collapsed="false">
      <c r="A500" s="0" t="s">
        <v>1207</v>
      </c>
      <c r="B500" s="0" t="s">
        <v>1208</v>
      </c>
      <c r="C500" s="0" t="s">
        <v>31</v>
      </c>
      <c r="D500" s="15" t="n">
        <v>1220.068</v>
      </c>
      <c r="E500" s="15" t="n">
        <v>1412.982</v>
      </c>
      <c r="F500" s="15" t="n">
        <v>1781.129</v>
      </c>
      <c r="G500" s="15" t="n">
        <v>1868.693</v>
      </c>
      <c r="H500" s="15" t="n">
        <v>1497.208</v>
      </c>
      <c r="I500" s="15" t="n">
        <v>-29.361</v>
      </c>
      <c r="J500" s="15" t="n">
        <v>13.73</v>
      </c>
      <c r="K500" s="15" t="n">
        <v>304.534</v>
      </c>
      <c r="L500" s="15" t="n">
        <v>444.792</v>
      </c>
      <c r="M500" s="15" t="n">
        <v>-33.352</v>
      </c>
      <c r="N500" s="16" t="n">
        <v>-0.185104541252785</v>
      </c>
      <c r="O500" s="21" t="s">
        <v>527</v>
      </c>
      <c r="P500" s="16" t="n">
        <v>-0.136529693938069</v>
      </c>
      <c r="Q500" s="16" t="n">
        <v>-0.206693058167039</v>
      </c>
      <c r="R500" s="16" t="n">
        <v>-0.0468584192267002</v>
      </c>
      <c r="S500" s="16" t="n">
        <v>0.24811849789742</v>
      </c>
      <c r="V500" s="17" t="s">
        <v>51</v>
      </c>
      <c r="W500" s="18" t="n">
        <v>321.77</v>
      </c>
      <c r="X500" s="18" t="n">
        <v>198.13</v>
      </c>
      <c r="Y500" s="16" t="n">
        <f aca="false">IF(AND(ISNUMBER(W500),ISNUMBER(X500)),X500/W500-1,"")</f>
        <v>-0.384249619293284</v>
      </c>
      <c r="Z500" s="16" t="n">
        <v>-0.384249583094606</v>
      </c>
      <c r="AA500" s="16" t="n">
        <v>0.0328222136989629</v>
      </c>
      <c r="AC500" s="16" t="n">
        <f aca="false">IF(AND(ISNUMBER(N500),ISNUMBER(AA500)),N500-AA500,"")</f>
        <v>-0.217926754951748</v>
      </c>
    </row>
    <row r="501" customFormat="false" ht="15" hidden="false" customHeight="false" outlineLevel="0" collapsed="false">
      <c r="A501" s="0" t="s">
        <v>1209</v>
      </c>
      <c r="B501" s="0" t="s">
        <v>1210</v>
      </c>
      <c r="C501" s="0" t="s">
        <v>31</v>
      </c>
      <c r="D501" s="15" t="n">
        <v>2960</v>
      </c>
      <c r="E501" s="15" t="n">
        <v>4398</v>
      </c>
      <c r="F501" s="15" t="n">
        <v>3340</v>
      </c>
      <c r="G501" s="15" t="n">
        <v>2967</v>
      </c>
      <c r="H501" s="15" t="n">
        <v>3686</v>
      </c>
      <c r="I501" s="15" t="n">
        <v>721</v>
      </c>
      <c r="J501" s="15" t="n">
        <v>1601</v>
      </c>
      <c r="K501" s="15" t="n">
        <v>898</v>
      </c>
      <c r="L501" s="15" t="n">
        <v>779</v>
      </c>
      <c r="M501" s="15" t="n">
        <v>1314</v>
      </c>
      <c r="N501" s="16" t="n">
        <v>-0.196961475854585</v>
      </c>
      <c r="O501" s="16" t="n">
        <v>-0.451293759512938</v>
      </c>
      <c r="P501" s="16" t="n">
        <v>-0.326966803092315</v>
      </c>
      <c r="Q501" s="16" t="n">
        <v>0.316766467065868</v>
      </c>
      <c r="R501" s="16" t="n">
        <v>0.125716211661611</v>
      </c>
      <c r="S501" s="16" t="n">
        <v>-0.195062398263701</v>
      </c>
      <c r="V501" s="17" t="s">
        <v>80</v>
      </c>
      <c r="W501" s="18" t="n">
        <v>103.1</v>
      </c>
      <c r="X501" s="18" t="n">
        <v>87.04</v>
      </c>
      <c r="Y501" s="16" t="n">
        <f aca="false">IF(AND(ISNUMBER(W501),ISNUMBER(X501)),X501/W501-1,"")</f>
        <v>-0.155771096023278</v>
      </c>
      <c r="Z501" s="16" t="n">
        <v>-0.136741865962128</v>
      </c>
      <c r="AA501" s="16" t="n">
        <v>6.30693069306931</v>
      </c>
      <c r="AB501" s="19" t="s">
        <v>35</v>
      </c>
      <c r="AC501" s="16" t="n">
        <f aca="false">IF(AND(ISNUMBER(N501),ISNUMBER(AA501)),N501-AA501,"")</f>
        <v>-6.50389216892389</v>
      </c>
    </row>
    <row r="502" customFormat="false" ht="15" hidden="false" customHeight="false" outlineLevel="0" collapsed="false">
      <c r="A502" s="0" t="s">
        <v>1211</v>
      </c>
      <c r="B502" s="0" t="s">
        <v>1212</v>
      </c>
      <c r="C502" s="0" t="s">
        <v>1213</v>
      </c>
      <c r="D502" s="15" t="n">
        <v>2139</v>
      </c>
      <c r="I502" s="15" t="n">
        <v>218</v>
      </c>
      <c r="V502" s="17" t="s">
        <v>47</v>
      </c>
      <c r="W502" s="18"/>
      <c r="X502" s="18" t="n">
        <v>119.22</v>
      </c>
      <c r="Y502" s="16" t="str">
        <f aca="false">IF(AND(ISNUMBER(W502),ISNUMBER(X502)),X502/W502-1,"")</f>
        <v/>
      </c>
      <c r="Z502" s="16"/>
      <c r="AA502" s="16"/>
      <c r="AC502" s="16" t="str">
        <f aca="false">IF(AND(ISNUMBER(N502),ISNUMBER(AA502)),N502-AA502,"")</f>
        <v/>
      </c>
    </row>
    <row r="503" customFormat="false" ht="15" hidden="false" customHeight="false" outlineLevel="0" collapsed="false">
      <c r="A503" s="0" t="s">
        <v>1214</v>
      </c>
      <c r="B503" s="0" t="s">
        <v>1215</v>
      </c>
      <c r="C503" s="0" t="s">
        <v>31</v>
      </c>
      <c r="D503" s="15" t="n">
        <v>4522</v>
      </c>
      <c r="E503" s="15" t="n">
        <v>4352</v>
      </c>
      <c r="F503" s="15" t="n">
        <v>4289</v>
      </c>
      <c r="G503" s="15" t="n">
        <v>4074</v>
      </c>
      <c r="I503" s="15" t="n">
        <v>676</v>
      </c>
      <c r="J503" s="15" t="n">
        <v>815</v>
      </c>
      <c r="K503" s="15" t="n">
        <v>1014</v>
      </c>
      <c r="L503" s="15" t="n">
        <v>991</v>
      </c>
      <c r="P503" s="16" t="n">
        <v>0.0390625</v>
      </c>
      <c r="Q503" s="16" t="n">
        <v>0.0146887386337142</v>
      </c>
      <c r="R503" s="16" t="n">
        <v>0.0527736867943054</v>
      </c>
      <c r="V503" s="17" t="s">
        <v>47</v>
      </c>
      <c r="W503" s="18"/>
      <c r="X503" s="18" t="n">
        <v>163.33</v>
      </c>
      <c r="Y503" s="16" t="str">
        <f aca="false">IF(AND(ISNUMBER(W503),ISNUMBER(X503)),X503/W503-1,"")</f>
        <v/>
      </c>
      <c r="Z503" s="16"/>
      <c r="AA503" s="16"/>
      <c r="AC503" s="16" t="str">
        <f aca="false">IF(AND(ISNUMBER(N503),ISNUMBER(AA503)),N503-AA503,"")</f>
        <v/>
      </c>
    </row>
    <row r="504" customFormat="false" ht="15" hidden="false" customHeight="false" outlineLevel="0" collapsed="false">
      <c r="A504" s="0" t="s">
        <v>1216</v>
      </c>
      <c r="B504" s="0" t="s">
        <v>1217</v>
      </c>
      <c r="C504" s="0" t="s">
        <v>31</v>
      </c>
      <c r="D504" s="15" t="n">
        <v>550.801</v>
      </c>
      <c r="I504" s="15" t="n">
        <v>201.398</v>
      </c>
      <c r="J504" s="15" t="n">
        <v>192.115</v>
      </c>
      <c r="K504" s="15" t="n">
        <v>179.047</v>
      </c>
      <c r="L504" s="15" t="n">
        <v>183.964</v>
      </c>
      <c r="M504" s="15" t="n">
        <v>174.535</v>
      </c>
      <c r="O504" s="16" t="n">
        <v>0.153911822843556</v>
      </c>
      <c r="V504" s="17" t="s">
        <v>535</v>
      </c>
      <c r="W504" s="18" t="n">
        <v>21.63</v>
      </c>
      <c r="X504" s="18" t="n">
        <v>22.21</v>
      </c>
      <c r="Y504" s="16" t="n">
        <f aca="false">IF(AND(ISNUMBER(W504),ISNUMBER(X504)),X504/W504-1,"")</f>
        <v>0.0268146093388812</v>
      </c>
      <c r="Z504" s="16" t="n">
        <v>0.0758350297765278</v>
      </c>
      <c r="AA504" s="16" t="n">
        <v>0.049864962387377</v>
      </c>
      <c r="AC504" s="16" t="str">
        <f aca="false">IF(AND(ISNUMBER(N504),ISNUMBER(AA504)),N504-AA504,"")</f>
        <v/>
      </c>
    </row>
  </sheetData>
  <autoFilter ref="A1:AC5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50"/>
    <col collapsed="false" customWidth="true" hidden="false" outlineLevel="0" max="12" min="12" style="0" width="14"/>
  </cols>
  <sheetData>
    <row r="1" customFormat="false" ht="16.4" hidden="false" customHeight="false" outlineLevel="0" collapsed="false">
      <c r="A1" s="22" t="s">
        <v>1218</v>
      </c>
    </row>
    <row r="3" customFormat="false" ht="15" hidden="false" customHeight="false" outlineLevel="0" collapsed="false">
      <c r="A3" s="23" t="s">
        <v>1219</v>
      </c>
      <c r="B3" s="23" t="s">
        <v>1220</v>
      </c>
      <c r="C3" s="23" t="s">
        <v>1221</v>
      </c>
    </row>
    <row r="4" customFormat="false" ht="15" hidden="false" customHeight="false" outlineLevel="0" collapsed="false">
      <c r="A4" s="19" t="s">
        <v>1222</v>
      </c>
      <c r="B4" s="24" t="n">
        <f aca="false">COUNT(실적!$Y$2:$Y$504)</f>
        <v>500</v>
      </c>
      <c r="C4" s="19" t="s">
        <v>1223</v>
      </c>
    </row>
    <row r="5" customFormat="false" ht="15" hidden="false" customHeight="false" outlineLevel="0" collapsed="false">
      <c r="A5" s="0" t="s">
        <v>1224</v>
      </c>
      <c r="B5" s="16" t="n">
        <v>0.160901531001769</v>
      </c>
      <c r="C5" s="19" t="s">
        <v>1225</v>
      </c>
    </row>
    <row r="6" customFormat="false" ht="15" hidden="false" customHeight="false" outlineLevel="0" collapsed="false">
      <c r="A6" s="19" t="s">
        <v>1226</v>
      </c>
      <c r="B6" s="16" t="n">
        <f aca="false">AVERAGE(실적!$Y$2:$Y$504)</f>
        <v>0.204428694824518</v>
      </c>
    </row>
    <row r="7" customFormat="false" ht="15" hidden="false" customHeight="false" outlineLevel="0" collapsed="false">
      <c r="A7" s="19" t="s">
        <v>1227</v>
      </c>
      <c r="B7" s="16" t="n">
        <f aca="false">MEDIAN(실적!$Y$2:$Y$504)</f>
        <v>0.0572885092165384</v>
      </c>
    </row>
    <row r="8" customFormat="false" ht="15" hidden="false" customHeight="false" outlineLevel="0" collapsed="false">
      <c r="A8" s="19" t="s">
        <v>1228</v>
      </c>
      <c r="B8" s="16" t="n">
        <f aca="false">COUNTIF(실적!$Y$2:$Y$504,"&gt;0")/COUNT(실적!$Y$2:$Y$504)</f>
        <v>0.57</v>
      </c>
    </row>
    <row r="9" customFormat="false" ht="15" hidden="false" customHeight="false" outlineLevel="0" collapsed="false">
      <c r="A9" s="0" t="s">
        <v>1229</v>
      </c>
      <c r="B9" s="24" t="n">
        <f aca="false">COUNTIF(실적!$Y$2:$Y$504,"&gt;=0.5")</f>
        <v>60</v>
      </c>
    </row>
    <row r="10" customFormat="false" ht="15" hidden="false" customHeight="false" outlineLevel="0" collapsed="false">
      <c r="A10" s="0" t="s">
        <v>1230</v>
      </c>
      <c r="B10" s="24" t="n">
        <f aca="false">COUNTIF(실적!$Y$2:$Y$504,"&gt;=1")</f>
        <v>24</v>
      </c>
    </row>
    <row r="13" customFormat="false" ht="15" hidden="false" customHeight="false" outlineLevel="0" collapsed="false">
      <c r="A13" s="25" t="s">
        <v>1231</v>
      </c>
    </row>
    <row r="14" customFormat="false" ht="28.35" hidden="false" customHeight="false" outlineLevel="0" collapsed="false">
      <c r="A14" s="26" t="s">
        <v>21</v>
      </c>
      <c r="B14" s="23" t="s">
        <v>1232</v>
      </c>
      <c r="C14" s="23" t="s">
        <v>1233</v>
      </c>
      <c r="D14" s="23" t="s">
        <v>1234</v>
      </c>
      <c r="E14" s="26" t="s">
        <v>1235</v>
      </c>
      <c r="F14" s="26" t="s">
        <v>1236</v>
      </c>
      <c r="G14" s="23" t="s">
        <v>1237</v>
      </c>
    </row>
    <row r="15" customFormat="false" ht="15" hidden="false" customHeight="false" outlineLevel="0" collapsed="false">
      <c r="A15" s="0" t="s">
        <v>76</v>
      </c>
      <c r="B15" s="0" t="n">
        <f aca="false">COUNTIFS(실적!$V$2:$V$504,A15,실적!$Y$2:$Y$504,"&gt;-100")</f>
        <v>23</v>
      </c>
      <c r="C15" s="16" t="n">
        <f aca="false">IFERROR(AVERAGEIFS(실적!$Y$2:$Y$504,실적!$V$2:$V$504,A15),"")</f>
        <v>-0.0715892833807276</v>
      </c>
      <c r="D15" s="16" t="n">
        <f aca="false" t="array" ref="D15:D15">IFERROR(MEDIAN(IF((실적!$V$2:$V$504=A15)*ISNUMBER(실적!$Y$2:$Y$504),실적!$Y$2:$Y$504)),"")</f>
        <v>-0.0697982136950049</v>
      </c>
      <c r="E15" s="17" t="n">
        <f aca="false">COUNTIFS(실적!$V$2:$V$504,A15,실적!$Y$2:$Y$504,"&gt;=0.5")</f>
        <v>1</v>
      </c>
      <c r="F15" s="16" t="n">
        <f aca="false">IFERROR(E15/B15,"")</f>
        <v>0.0434782608695652</v>
      </c>
      <c r="G15" s="16" t="n">
        <f aca="false" t="array" ref="G15:G15">IFERROR(MEDIAN(IF((실적!$V$2:$V$504=A15)*ISNUMBER(실적!$N$2:$N$504),실적!$N$2:$N$504)),"")</f>
        <v>0.108108108108108</v>
      </c>
    </row>
    <row r="16" customFormat="false" ht="15" hidden="false" customHeight="false" outlineLevel="0" collapsed="false">
      <c r="A16" s="0" t="s">
        <v>43</v>
      </c>
      <c r="B16" s="0" t="n">
        <f aca="false">COUNTIFS(실적!$V$2:$V$504,A16,실적!$Y$2:$Y$504,"&gt;-100")</f>
        <v>47</v>
      </c>
      <c r="C16" s="16" t="n">
        <f aca="false">IFERROR(AVERAGEIFS(실적!$Y$2:$Y$504,실적!$V$2:$V$504,A16),"")</f>
        <v>-0.0829863035962261</v>
      </c>
      <c r="D16" s="16" t="n">
        <f aca="false" t="array" ref="D16:D16">IFERROR(MEDIAN(IF((실적!$V$2:$V$504=A16)*ISNUMBER(실적!$Y$2:$Y$504),실적!$Y$2:$Y$504)),"")</f>
        <v>-0.141534361661284</v>
      </c>
      <c r="E16" s="17" t="n">
        <f aca="false">COUNTIFS(실적!$V$2:$V$504,A16,실적!$Y$2:$Y$504,"&gt;=0.5")</f>
        <v>1</v>
      </c>
      <c r="F16" s="16" t="n">
        <f aca="false">IFERROR(E16/B16,"")</f>
        <v>0.0212765957446809</v>
      </c>
      <c r="G16" s="16" t="n">
        <f aca="false" t="array" ref="G16:G16">IFERROR(MEDIAN(IF((실적!$V$2:$V$504=A16)*ISNUMBER(실적!$N$2:$N$504),실적!$N$2:$N$504)),"")</f>
        <v>0.0647862494490965</v>
      </c>
    </row>
    <row r="17" customFormat="false" ht="15" hidden="false" customHeight="false" outlineLevel="0" collapsed="false">
      <c r="A17" s="0" t="s">
        <v>84</v>
      </c>
      <c r="B17" s="0" t="n">
        <f aca="false">COUNTIFS(실적!$V$2:$V$504,A17,실적!$Y$2:$Y$504,"&gt;-100")</f>
        <v>33</v>
      </c>
      <c r="C17" s="16" t="n">
        <f aca="false">IFERROR(AVERAGEIFS(실적!$Y$2:$Y$504,실적!$V$2:$V$504,A17),"")</f>
        <v>0.0455576981633564</v>
      </c>
      <c r="D17" s="16" t="n">
        <f aca="false" t="array" ref="D17:D17">IFERROR(MEDIAN(IF((실적!$V$2:$V$504=A17)*ISNUMBER(실적!$Y$2:$Y$504),실적!$Y$2:$Y$504)),"")</f>
        <v>0.0480427046263348</v>
      </c>
      <c r="E17" s="17" t="n">
        <f aca="false">COUNTIFS(실적!$V$2:$V$504,A17,실적!$Y$2:$Y$504,"&gt;=0.5")</f>
        <v>1</v>
      </c>
      <c r="F17" s="16" t="n">
        <f aca="false">IFERROR(E17/B17,"")</f>
        <v>0.0303030303030303</v>
      </c>
      <c r="G17" s="16" t="n">
        <f aca="false" t="array" ref="G17:G17">IFERROR(MEDIAN(IF((실적!$V$2:$V$504=A17)*ISNUMBER(실적!$N$2:$N$504),실적!$N$2:$N$504)),"")</f>
        <v>0.0524475012763643</v>
      </c>
    </row>
    <row r="18" customFormat="false" ht="15" hidden="false" customHeight="false" outlineLevel="0" collapsed="false">
      <c r="A18" s="0" t="s">
        <v>80</v>
      </c>
      <c r="B18" s="0" t="n">
        <f aca="false">COUNTIFS(실적!$V$2:$V$504,A18,실적!$Y$2:$Y$504,"&gt;-100")</f>
        <v>21</v>
      </c>
      <c r="C18" s="16" t="n">
        <f aca="false">IFERROR(AVERAGEIFS(실적!$Y$2:$Y$504,실적!$V$2:$V$504,A18),"")</f>
        <v>0.382439118332258</v>
      </c>
      <c r="D18" s="16" t="n">
        <f aca="false" t="array" ref="D18:D18">IFERROR(MEDIAN(IF((실적!$V$2:$V$504=A18)*ISNUMBER(실적!$Y$2:$Y$504),실적!$Y$2:$Y$504)),"")</f>
        <v>0.291054152531725</v>
      </c>
      <c r="E18" s="17" t="n">
        <f aca="false">COUNTIFS(실적!$V$2:$V$504,A18,실적!$Y$2:$Y$504,"&gt;=0.5")</f>
        <v>5</v>
      </c>
      <c r="F18" s="16" t="n">
        <f aca="false">IFERROR(E18/B18,"")</f>
        <v>0.238095238095238</v>
      </c>
      <c r="G18" s="16" t="n">
        <f aca="false" t="array" ref="G18:G18">IFERROR(MEDIAN(IF((실적!$V$2:$V$504=A18)*ISNUMBER(실적!$N$2:$N$504),실적!$N$2:$N$504)),"")</f>
        <v>0.368251928020566</v>
      </c>
    </row>
    <row r="19" customFormat="false" ht="15" hidden="false" customHeight="false" outlineLevel="0" collapsed="false">
      <c r="A19" s="0" t="s">
        <v>51</v>
      </c>
      <c r="B19" s="0" t="n">
        <f aca="false">COUNTIFS(실적!$V$2:$V$504,A19,실적!$Y$2:$Y$504,"&gt;-100")</f>
        <v>76</v>
      </c>
      <c r="C19" s="16" t="n">
        <f aca="false">IFERROR(AVERAGEIFS(실적!$Y$2:$Y$504,실적!$V$2:$V$504,A19),"")</f>
        <v>0.0230876527303997</v>
      </c>
      <c r="D19" s="16" t="n">
        <f aca="false" t="array" ref="D19:D19">IFERROR(MEDIAN(IF((실적!$V$2:$V$504=A19)*ISNUMBER(실적!$Y$2:$Y$504),실적!$Y$2:$Y$504)),"")</f>
        <v>0.0231244884989182</v>
      </c>
      <c r="E19" s="17" t="n">
        <f aca="false">COUNTIFS(실적!$V$2:$V$504,A19,실적!$Y$2:$Y$504,"&gt;=0.5")</f>
        <v>1</v>
      </c>
      <c r="F19" s="16" t="n">
        <f aca="false">IFERROR(E19/B19,"")</f>
        <v>0.0131578947368421</v>
      </c>
      <c r="G19" s="16" t="n">
        <f aca="false" t="array" ref="G19:G19">IFERROR(MEDIAN(IF((실적!$V$2:$V$504=A19)*ISNUMBER(실적!$N$2:$N$504),실적!$N$2:$N$504)),"")</f>
        <v>0.106909748143729</v>
      </c>
    </row>
    <row r="20" customFormat="false" ht="15" hidden="false" customHeight="false" outlineLevel="0" collapsed="false">
      <c r="A20" s="0" t="s">
        <v>147</v>
      </c>
      <c r="B20" s="0" t="n">
        <f aca="false">COUNTIFS(실적!$V$2:$V$504,A20,실적!$Y$2:$Y$504,"&gt;-100")</f>
        <v>60</v>
      </c>
      <c r="C20" s="16" t="n">
        <f aca="false">IFERROR(AVERAGEIFS(실적!$Y$2:$Y$504,실적!$V$2:$V$504,A20),"")</f>
        <v>0.322618398836831</v>
      </c>
      <c r="D20" s="16" t="n">
        <f aca="false" t="array" ref="D20:D20">IFERROR(MEDIAN(IF((실적!$V$2:$V$504=A20)*ISNUMBER(실적!$Y$2:$Y$504),실적!$Y$2:$Y$504)),"")</f>
        <v>0.225795230530589</v>
      </c>
      <c r="E20" s="17" t="n">
        <f aca="false">COUNTIFS(실적!$V$2:$V$504,A20,실적!$Y$2:$Y$504,"&gt;=0.5")</f>
        <v>10</v>
      </c>
      <c r="F20" s="16" t="n">
        <f aca="false">IFERROR(E20/B20,"")</f>
        <v>0.166666666666667</v>
      </c>
      <c r="G20" s="16" t="n">
        <f aca="false" t="array" ref="G20:G20">IFERROR(MEDIAN(IF((실적!$V$2:$V$504=A20)*ISNUMBER(실적!$N$2:$N$504),실적!$N$2:$N$504)),"")</f>
        <v>0.0728167060016898</v>
      </c>
    </row>
    <row r="21" customFormat="false" ht="15" hidden="false" customHeight="false" outlineLevel="0" collapsed="false">
      <c r="A21" s="0" t="s">
        <v>47</v>
      </c>
      <c r="B21" s="0" t="n">
        <f aca="false">COUNTIFS(실적!$V$2:$V$504,A21,실적!$Y$2:$Y$504,"&gt;-100")</f>
        <v>81</v>
      </c>
      <c r="C21" s="16" t="n">
        <f aca="false">IFERROR(AVERAGEIFS(실적!$Y$2:$Y$504,실적!$V$2:$V$504,A21),"")</f>
        <v>0.141735369253815</v>
      </c>
      <c r="D21" s="16" t="n">
        <f aca="false" t="array" ref="D21:D21">IFERROR(MEDIAN(IF((실적!$V$2:$V$504=A21)*ISNUMBER(실적!$Y$2:$Y$504),실적!$Y$2:$Y$504)),"")</f>
        <v>0.0906707514655196</v>
      </c>
      <c r="E21" s="17" t="n">
        <f aca="false">COUNTIFS(실적!$V$2:$V$504,A21,실적!$Y$2:$Y$504,"&gt;=0.5")</f>
        <v>11</v>
      </c>
      <c r="F21" s="16" t="n">
        <f aca="false">IFERROR(E21/B21,"")</f>
        <v>0.135802469135802</v>
      </c>
      <c r="G21" s="16" t="n">
        <f aca="false" t="array" ref="G21:G21">IFERROR(MEDIAN(IF((실적!$V$2:$V$504=A21)*ISNUMBER(실적!$N$2:$N$504),실적!$N$2:$N$504)),"")</f>
        <v>0.101007274762171</v>
      </c>
    </row>
    <row r="22" customFormat="false" ht="15" hidden="false" customHeight="false" outlineLevel="0" collapsed="false">
      <c r="A22" s="0" t="s">
        <v>34</v>
      </c>
      <c r="B22" s="0" t="n">
        <f aca="false">COUNTIFS(실적!$V$2:$V$504,A22,실적!$Y$2:$Y$504,"&gt;-100")</f>
        <v>73</v>
      </c>
      <c r="C22" s="16" t="n">
        <f aca="false">IFERROR(AVERAGEIFS(실적!$Y$2:$Y$504,실적!$V$2:$V$504,A22),"")</f>
        <v>0.883515171487556</v>
      </c>
      <c r="D22" s="16" t="n">
        <f aca="false" t="array" ref="D22:D22">IFERROR(MEDIAN(IF((실적!$V$2:$V$504=A22)*ISNUMBER(실적!$Y$2:$Y$504),실적!$Y$2:$Y$504)),"")</f>
        <v>0.274283776911341</v>
      </c>
      <c r="E22" s="17" t="n">
        <f aca="false">COUNTIFS(실적!$V$2:$V$504,A22,실적!$Y$2:$Y$504,"&gt;=0.5")</f>
        <v>27</v>
      </c>
      <c r="F22" s="16" t="n">
        <f aca="false">IFERROR(E22/B22,"")</f>
        <v>0.36986301369863</v>
      </c>
      <c r="G22" s="16" t="n">
        <f aca="false" t="array" ref="G22:G22">IFERROR(MEDIAN(IF((실적!$V$2:$V$504=A22)*ISNUMBER(실적!$N$2:$N$504),실적!$N$2:$N$504)),"")</f>
        <v>0.224779983705344</v>
      </c>
    </row>
    <row r="23" customFormat="false" ht="15" hidden="false" customHeight="false" outlineLevel="0" collapsed="false">
      <c r="A23" s="0" t="s">
        <v>104</v>
      </c>
      <c r="B23" s="0" t="n">
        <f aca="false">COUNTIFS(실적!$V$2:$V$504,A23,실적!$Y$2:$Y$504,"&gt;-100")</f>
        <v>25</v>
      </c>
      <c r="C23" s="16" t="n">
        <f aca="false">IFERROR(AVERAGEIFS(실적!$Y$2:$Y$504,실적!$V$2:$V$504,A23),"")</f>
        <v>0.160382506916519</v>
      </c>
      <c r="D23" s="16" t="n">
        <f aca="false" t="array" ref="D23:D23">IFERROR(MEDIAN(IF((실적!$V$2:$V$504=A23)*ISNUMBER(실적!$Y$2:$Y$504),실적!$Y$2:$Y$504)),"")</f>
        <v>0.0749132947976878</v>
      </c>
      <c r="E23" s="17" t="n">
        <f aca="false">COUNTIFS(실적!$V$2:$V$504,A23,실적!$Y$2:$Y$504,"&gt;=0.5")</f>
        <v>3</v>
      </c>
      <c r="F23" s="16" t="n">
        <f aca="false">IFERROR(E23/B23,"")</f>
        <v>0.12</v>
      </c>
      <c r="G23" s="16" t="n">
        <f aca="false" t="array" ref="G23:G23">IFERROR(MEDIAN(IF((실적!$V$2:$V$504=A23)*ISNUMBER(실적!$N$2:$N$504),실적!$N$2:$N$504)),"")</f>
        <v>0.10916460256699</v>
      </c>
    </row>
    <row r="24" customFormat="false" ht="15" hidden="false" customHeight="false" outlineLevel="0" collapsed="false">
      <c r="A24" s="0" t="s">
        <v>535</v>
      </c>
      <c r="B24" s="0" t="n">
        <f aca="false">COUNTIFS(실적!$V$2:$V$504,A24,실적!$Y$2:$Y$504,"&gt;-100")</f>
        <v>30</v>
      </c>
      <c r="C24" s="16" t="n">
        <f aca="false">IFERROR(AVERAGEIFS(실적!$Y$2:$Y$504,실적!$V$2:$V$504,A24),"")</f>
        <v>-0.0278591960694529</v>
      </c>
      <c r="D24" s="16" t="n">
        <f aca="false" t="array" ref="D24:D24">IFERROR(MEDIAN(IF((실적!$V$2:$V$504=A24)*ISNUMBER(실적!$Y$2:$Y$504),실적!$Y$2:$Y$504)),"")</f>
        <v>-0.0435708965077704</v>
      </c>
      <c r="E24" s="17" t="n">
        <f aca="false">COUNTIFS(실적!$V$2:$V$504,A24,실적!$Y$2:$Y$504,"&gt;=0.5")</f>
        <v>0</v>
      </c>
      <c r="F24" s="16" t="n">
        <f aca="false">IFERROR(E24/B24,"")</f>
        <v>0</v>
      </c>
      <c r="G24" s="16" t="n">
        <f aca="false" t="array" ref="G24:G24">IFERROR(MEDIAN(IF((실적!$V$2:$V$504=A24)*ISNUMBER(실적!$N$2:$N$504),실적!$N$2:$N$504)),"")</f>
        <v>0.0570948354894572</v>
      </c>
    </row>
    <row r="25" customFormat="false" ht="15" hidden="false" customHeight="false" outlineLevel="0" collapsed="false">
      <c r="A25" s="0" t="s">
        <v>134</v>
      </c>
      <c r="B25" s="0" t="n">
        <f aca="false">COUNTIFS(실적!$V$2:$V$504,A25,실적!$Y$2:$Y$504,"&gt;-100")</f>
        <v>31</v>
      </c>
      <c r="C25" s="16" t="n">
        <f aca="false">IFERROR(AVERAGEIFS(실적!$Y$2:$Y$504,실적!$V$2:$V$504,A25),"")</f>
        <v>-0.065680422000963</v>
      </c>
      <c r="D25" s="16" t="n">
        <f aca="false" t="array" ref="D25:D25">IFERROR(MEDIAN(IF((실적!$V$2:$V$504=A25)*ISNUMBER(실적!$Y$2:$Y$504),실적!$Y$2:$Y$504)),"")</f>
        <v>-0.0631408526713437</v>
      </c>
      <c r="E25" s="17" t="n">
        <f aca="false">COUNTIFS(실적!$V$2:$V$504,A25,실적!$Y$2:$Y$504,"&gt;=0.5")</f>
        <v>0</v>
      </c>
      <c r="F25" s="16" t="n">
        <f aca="false">IFERROR(E25/B25,"")</f>
        <v>0</v>
      </c>
      <c r="G25" s="16" t="n">
        <f aca="false" t="array" ref="G25:G25">IFERROR(MEDIAN(IF((실적!$V$2:$V$504=A25)*ISNUMBER(실적!$N$2:$N$504),실적!$N$2:$N$504)),"")</f>
        <v>0.049645390070922</v>
      </c>
    </row>
    <row r="26" customFormat="false" ht="15" hidden="false" customHeight="false" outlineLevel="0" collapsed="false">
      <c r="A26" s="27" t="s">
        <v>1238</v>
      </c>
    </row>
    <row r="28" customFormat="false" ht="16.4" hidden="false" customHeight="false" outlineLevel="0" collapsed="false">
      <c r="A28" s="25" t="s">
        <v>1239</v>
      </c>
    </row>
    <row r="29" customFormat="false" ht="28.35" hidden="false" customHeight="false" outlineLevel="0" collapsed="false">
      <c r="A29" s="23" t="s">
        <v>1240</v>
      </c>
      <c r="B29" s="23" t="s">
        <v>1241</v>
      </c>
      <c r="C29" s="23" t="s">
        <v>1242</v>
      </c>
      <c r="D29" s="23" t="s">
        <v>1232</v>
      </c>
      <c r="E29" s="23" t="s">
        <v>1234</v>
      </c>
      <c r="F29" s="23" t="s">
        <v>1237</v>
      </c>
      <c r="G29" s="23" t="s">
        <v>1243</v>
      </c>
      <c r="H29" s="23" t="s">
        <v>1244</v>
      </c>
      <c r="I29" s="23" t="s">
        <v>1245</v>
      </c>
      <c r="J29" s="23" t="s">
        <v>1246</v>
      </c>
      <c r="K29" s="26" t="s">
        <v>1247</v>
      </c>
      <c r="L29" s="23" t="s">
        <v>1248</v>
      </c>
    </row>
    <row r="30" customFormat="false" ht="15" hidden="false" customHeight="false" outlineLevel="0" collapsed="false">
      <c r="A30" s="0" t="s">
        <v>1249</v>
      </c>
      <c r="B30" s="16" t="n">
        <f aca="false">PERCENTILE(실적!$Y$2:$Y$504,0.8)</f>
        <v>0.351828573387712</v>
      </c>
      <c r="C30" s="16" t="n">
        <f aca="false">PERCENTILE(실적!$Y$2:$Y$504,1)</f>
        <v>17.1966332765702</v>
      </c>
      <c r="D30" s="17" t="n">
        <f aca="false">COUNTIFS(실적!$Y$2:$Y$504,"&gt;="&amp;B30,실적!$Y$2:$Y$504,"&lt;="&amp;C30)</f>
        <v>100</v>
      </c>
      <c r="E30" s="16" t="n">
        <f aca="false" t="array" ref="E30:E30">IFERROR(MEDIAN(IF((ISNUMBER(실적!$Y$2:$Y$504)*(실적!$Y$2:$Y$504&gt;=B30)*(실적!$Y$2:$Y$504&lt;=C30))*ISNUMBER(실적!$Y$2:$Y$504),실적!$Y$2:$Y$504)),"")</f>
        <v>0.560020304522591</v>
      </c>
      <c r="F30" s="16" t="n">
        <f aca="false" t="array" ref="F30:F30">IFERROR(MEDIAN(IF((ISNUMBER(실적!$Y$2:$Y$504)*(실적!$Y$2:$Y$504&gt;=B30)*(실적!$Y$2:$Y$504&lt;=C30))*ISNUMBER(실적!$N$2:$N$504),실적!$N$2:$N$504)),"")</f>
        <v>0.190212001805906</v>
      </c>
      <c r="G30" s="16" t="n">
        <f aca="false" t="array" ref="G30:G30">IFERROR(MEDIAN(IF((ISNUMBER(실적!$Y$2:$Y$504)*(실적!$Y$2:$Y$504&gt;=B30)*(실적!$Y$2:$Y$504&lt;=C30))*ISNUMBER(실적!$O$2:$O$504),실적!$O$2:$O$504)),"")</f>
        <v>0.323042168674699</v>
      </c>
      <c r="H30" s="16" t="n">
        <f aca="false" t="array" ref="H30:H30">IFERROR(MEDIAN(IF((ISNUMBER(실적!$Y$2:$Y$504)*(실적!$Y$2:$Y$504&gt;=B30)*(실적!$Y$2:$Y$504&lt;=C30))*ISNUMBER(실적!$P$2:$P$504),실적!$P$2:$P$504)),"")</f>
        <v>0.0973015099383187</v>
      </c>
      <c r="I30" s="16" t="n">
        <f aca="false" t="array" ref="I30:I30">IFERROR(SUM((ISNUMBER(실적!$Y$2:$Y$504)*(실적!$Y$2:$Y$504&gt;=B30)*(실적!$Y$2:$Y$504&lt;=C30))*(실적!$T$2:$T$504&lt;&gt;""))/D30,"")</f>
        <v>0.56</v>
      </c>
      <c r="J30" s="16" t="n">
        <f aca="false" t="array" ref="J30:J30">IFERROR(MEDIAN(IF((ISNUMBER(실적!$Y$2:$Y$504)*(실적!$Y$2:$Y$504&gt;=B30)*(실적!$Y$2:$Y$504&lt;=C30))*ISNUMBER(실적!$AA$2:$AA$504),실적!$AA$2:$AA$504)),"")</f>
        <v>0.0755754288227533</v>
      </c>
      <c r="K30" s="16" t="n">
        <f aca="false" t="array" ref="K30:K30">IFERROR(SUM((ISNUMBER(실적!$Y$2:$Y$504)*(실적!$Y$2:$Y$504&gt;=B30)*(실적!$Y$2:$Y$504&lt;=C30))*(실적!$AB$2:$AB$504&lt;&gt;""))/D30,"")</f>
        <v>0.28</v>
      </c>
      <c r="L30" s="16" t="n">
        <f aca="false" t="array" ref="L30:L30">IFERROR(MEDIAN(IF((ISNUMBER(실적!$Y$2:$Y$504)*(실적!$Y$2:$Y$504&gt;=B30)*(실적!$Y$2:$Y$504&lt;=C30))*ISNUMBER(실적!$AC$2:$AC$504),실적!$AC$2:$AC$504)),"")</f>
        <v>0.105268193610888</v>
      </c>
    </row>
    <row r="31" customFormat="false" ht="15" hidden="false" customHeight="false" outlineLevel="0" collapsed="false">
      <c r="A31" s="0" t="s">
        <v>1250</v>
      </c>
      <c r="B31" s="16" t="n">
        <f aca="false">PERCENTILE(실적!$Y$2:$Y$504,0.6)</f>
        <v>0.120625160005402</v>
      </c>
      <c r="C31" s="16" t="n">
        <f aca="false">PERCENTILE(실적!$Y$2:$Y$504,0.8)</f>
        <v>0.351828573387712</v>
      </c>
      <c r="D31" s="17" t="n">
        <f aca="false">COUNTIFS(실적!$Y$2:$Y$504,"&gt;="&amp;B31,실적!$Y$2:$Y$504,"&lt;"&amp;C31)</f>
        <v>100</v>
      </c>
      <c r="E31" s="16" t="n">
        <f aca="false" t="array" ref="E31:E31">IFERROR(MEDIAN(IF((ISNUMBER(실적!$Y$2:$Y$504)*(실적!$Y$2:$Y$504&gt;=B31)*(실적!$Y$2:$Y$504&lt;C31))*ISNUMBER(실적!$Y$2:$Y$504),실적!$Y$2:$Y$504)),"")</f>
        <v>0.20633210180624</v>
      </c>
      <c r="F31" s="16" t="n">
        <f aca="false" t="array" ref="F31:F31">IFERROR(MEDIAN(IF((ISNUMBER(실적!$Y$2:$Y$504)*(실적!$Y$2:$Y$504&gt;=B31)*(실적!$Y$2:$Y$504&lt;C31))*ISNUMBER(실적!$N$2:$N$504),실적!$N$2:$N$504)),"")</f>
        <v>0.104888869322961</v>
      </c>
      <c r="G31" s="16" t="n">
        <f aca="false" t="array" ref="G31:G31">IFERROR(MEDIAN(IF((ISNUMBER(실적!$Y$2:$Y$504)*(실적!$Y$2:$Y$504&gt;=B31)*(실적!$Y$2:$Y$504&lt;C31))*ISNUMBER(실적!$O$2:$O$504),실적!$O$2:$O$504)),"")</f>
        <v>0.23228676160791</v>
      </c>
      <c r="H31" s="16" t="n">
        <f aca="false" t="array" ref="H31:H31">IFERROR(MEDIAN(IF((ISNUMBER(실적!$Y$2:$Y$504)*(실적!$Y$2:$Y$504&gt;=B31)*(실적!$Y$2:$Y$504&lt;C31))*ISNUMBER(실적!$P$2:$P$504),실적!$P$2:$P$504)),"")</f>
        <v>0.0704874666732657</v>
      </c>
      <c r="I31" s="16" t="n">
        <f aca="false" t="array" ref="I31:I31">IFERROR(SUM((ISNUMBER(실적!$Y$2:$Y$504)*(실적!$Y$2:$Y$504&gt;=B31)*(실적!$Y$2:$Y$504&lt;C31))*(실적!$T$2:$T$504&lt;&gt;""))/D31,"")</f>
        <v>0.4</v>
      </c>
      <c r="J31" s="16" t="n">
        <f aca="false" t="array" ref="J31:J31">IFERROR(MEDIAN(IF((ISNUMBER(실적!$Y$2:$Y$504)*(실적!$Y$2:$Y$504&gt;=B31)*(실적!$Y$2:$Y$504&lt;C31))*ISNUMBER(실적!$AA$2:$AA$504),실적!$AA$2:$AA$504)),"")</f>
        <v>0.0614482406935237</v>
      </c>
      <c r="K31" s="16" t="n">
        <f aca="false" t="array" ref="K31:K31">IFERROR(SUM((ISNUMBER(실적!$Y$2:$Y$504)*(실적!$Y$2:$Y$504&gt;=B31)*(실적!$Y$2:$Y$504&lt;C31))*(실적!$AB$2:$AB$504&lt;&gt;""))/D31,"")</f>
        <v>0.23</v>
      </c>
      <c r="L31" s="16" t="n">
        <f aca="false" t="array" ref="L31:L31">IFERROR(MEDIAN(IF((ISNUMBER(실적!$Y$2:$Y$504)*(실적!$Y$2:$Y$504&gt;=B31)*(실적!$Y$2:$Y$504&lt;C31))*ISNUMBER(실적!$AC$2:$AC$504),실적!$AC$2:$AC$504)),"")</f>
        <v>0.0464247622632717</v>
      </c>
    </row>
    <row r="32" customFormat="false" ht="15" hidden="false" customHeight="false" outlineLevel="0" collapsed="false">
      <c r="A32" s="0" t="s">
        <v>1251</v>
      </c>
      <c r="B32" s="16" t="n">
        <f aca="false">PERCENTILE(실적!$Y$2:$Y$504,0.4)</f>
        <v>-0.024997730360815</v>
      </c>
      <c r="C32" s="16" t="n">
        <f aca="false">PERCENTILE(실적!$Y$2:$Y$504,0.6)</f>
        <v>0.120625160005402</v>
      </c>
      <c r="D32" s="17" t="n">
        <f aca="false">COUNTIFS(실적!$Y$2:$Y$504,"&gt;="&amp;B32,실적!$Y$2:$Y$504,"&lt;"&amp;C32)</f>
        <v>100</v>
      </c>
      <c r="E32" s="16" t="n">
        <f aca="false" t="array" ref="E32:E32">IFERROR(MEDIAN(IF((ISNUMBER(실적!$Y$2:$Y$504)*(실적!$Y$2:$Y$504&gt;=B32)*(실적!$Y$2:$Y$504&lt;C32))*ISNUMBER(실적!$Y$2:$Y$504),실적!$Y$2:$Y$504)),"")</f>
        <v>0.0572885092165384</v>
      </c>
      <c r="F32" s="16" t="n">
        <f aca="false" t="array" ref="F32:F32">IFERROR(MEDIAN(IF((ISNUMBER(실적!$Y$2:$Y$504)*(실적!$Y$2:$Y$504&gt;=B32)*(실적!$Y$2:$Y$504&lt;C32))*ISNUMBER(실적!$N$2:$N$504),실적!$N$2:$N$504)),"")</f>
        <v>0.0942273194816174</v>
      </c>
      <c r="G32" s="16" t="n">
        <f aca="false" t="array" ref="G32:G32">IFERROR(MEDIAN(IF((ISNUMBER(실적!$Y$2:$Y$504)*(실적!$Y$2:$Y$504&gt;=B32)*(실적!$Y$2:$Y$504&lt;C32))*ISNUMBER(실적!$O$2:$O$504),실적!$O$2:$O$504)),"")</f>
        <v>0.114238049558726</v>
      </c>
      <c r="H32" s="16" t="n">
        <f aca="false" t="array" ref="H32:H32">IFERROR(MEDIAN(IF((ISNUMBER(실적!$Y$2:$Y$504)*(실적!$Y$2:$Y$504&gt;=B32)*(실적!$Y$2:$Y$504&lt;C32))*ISNUMBER(실적!$P$2:$P$504),실적!$P$2:$P$504)),"")</f>
        <v>0.0545818728092138</v>
      </c>
      <c r="I32" s="16" t="n">
        <f aca="false" t="array" ref="I32:I32">IFERROR(SUM((ISNUMBER(실적!$Y$2:$Y$504)*(실적!$Y$2:$Y$504&gt;=B32)*(실적!$Y$2:$Y$504&lt;C32))*(실적!$T$2:$T$504&lt;&gt;""))/D32,"")</f>
        <v>0.23</v>
      </c>
      <c r="J32" s="16" t="n">
        <f aca="false" t="array" ref="J32:J32">IFERROR(MEDIAN(IF((ISNUMBER(실적!$Y$2:$Y$504)*(실적!$Y$2:$Y$504&gt;=B32)*(실적!$Y$2:$Y$504&lt;C32))*ISNUMBER(실적!$AA$2:$AA$504),실적!$AA$2:$AA$504)),"")</f>
        <v>0.0588995091707569</v>
      </c>
      <c r="K32" s="16" t="n">
        <f aca="false" t="array" ref="K32:K32">IFERROR(SUM((ISNUMBER(실적!$Y$2:$Y$504)*(실적!$Y$2:$Y$504&gt;=B32)*(실적!$Y$2:$Y$504&lt;C32))*(실적!$AB$2:$AB$504&lt;&gt;""))/D32,"")</f>
        <v>0.19</v>
      </c>
      <c r="L32" s="16" t="n">
        <f aca="false" t="array" ref="L32:L32">IFERROR(MEDIAN(IF((ISNUMBER(실적!$Y$2:$Y$504)*(실적!$Y$2:$Y$504&gt;=B32)*(실적!$Y$2:$Y$504&lt;C32))*ISNUMBER(실적!$AC$2:$AC$504),실적!$AC$2:$AC$504)),"")</f>
        <v>0.0293018958275798</v>
      </c>
    </row>
    <row r="33" customFormat="false" ht="15" hidden="false" customHeight="false" outlineLevel="0" collapsed="false">
      <c r="A33" s="0" t="s">
        <v>1252</v>
      </c>
      <c r="B33" s="16" t="n">
        <f aca="false">PERCENTILE(실적!$Y$2:$Y$504,0.2)</f>
        <v>-0.153508083219645</v>
      </c>
      <c r="C33" s="16" t="n">
        <f aca="false">PERCENTILE(실적!$Y$2:$Y$504,0.4)</f>
        <v>-0.024997730360815</v>
      </c>
      <c r="D33" s="17" t="n">
        <f aca="false">COUNTIFS(실적!$Y$2:$Y$504,"&gt;="&amp;B33,실적!$Y$2:$Y$504,"&lt;"&amp;C33)</f>
        <v>100</v>
      </c>
      <c r="E33" s="16" t="n">
        <f aca="false" t="array" ref="E33:E33">IFERROR(MEDIAN(IF((ISNUMBER(실적!$Y$2:$Y$504)*(실적!$Y$2:$Y$504&gt;=B33)*(실적!$Y$2:$Y$504&lt;C33))*ISNUMBER(실적!$Y$2:$Y$504),실적!$Y$2:$Y$504)),"")</f>
        <v>-0.0809354443129097</v>
      </c>
      <c r="F33" s="16" t="n">
        <f aca="false" t="array" ref="F33:F33">IFERROR(MEDIAN(IF((ISNUMBER(실적!$Y$2:$Y$504)*(실적!$Y$2:$Y$504&gt;=B33)*(실적!$Y$2:$Y$504&lt;C33))*ISNUMBER(실적!$N$2:$N$504),실적!$N$2:$N$504)),"")</f>
        <v>0.0663056668746482</v>
      </c>
      <c r="G33" s="16" t="n">
        <f aca="false" t="array" ref="G33:G33">IFERROR(MEDIAN(IF((ISNUMBER(실적!$Y$2:$Y$504)*(실적!$Y$2:$Y$504&gt;=B33)*(실적!$Y$2:$Y$504&lt;C33))*ISNUMBER(실적!$O$2:$O$504),실적!$O$2:$O$504)),"")</f>
        <v>0.104737907954543</v>
      </c>
      <c r="H33" s="16" t="n">
        <f aca="false" t="array" ref="H33:H33">IFERROR(MEDIAN(IF((ISNUMBER(실적!$Y$2:$Y$504)*(실적!$Y$2:$Y$504&gt;=B33)*(실적!$Y$2:$Y$504&lt;C33))*ISNUMBER(실적!$P$2:$P$504),실적!$P$2:$P$504)),"")</f>
        <v>0.0336644199778022</v>
      </c>
      <c r="I33" s="16" t="n">
        <f aca="false" t="array" ref="I33:I33">IFERROR(SUM((ISNUMBER(실적!$Y$2:$Y$504)*(실적!$Y$2:$Y$504&gt;=B33)*(실적!$Y$2:$Y$504&lt;C33))*(실적!$T$2:$T$504&lt;&gt;""))/D33,"")</f>
        <v>0.21</v>
      </c>
      <c r="J33" s="16" t="n">
        <f aca="false" t="array" ref="J33:J33">IFERROR(MEDIAN(IF((ISNUMBER(실적!$Y$2:$Y$504)*(실적!$Y$2:$Y$504&gt;=B33)*(실적!$Y$2:$Y$504&lt;C33))*ISNUMBER(실적!$AA$2:$AA$504),실적!$AA$2:$AA$504)),"")</f>
        <v>0.0751359254650543</v>
      </c>
      <c r="K33" s="16" t="n">
        <f aca="false" t="array" ref="K33:K33">IFERROR(SUM((ISNUMBER(실적!$Y$2:$Y$504)*(실적!$Y$2:$Y$504&gt;=B33)*(실적!$Y$2:$Y$504&lt;C33))*(실적!$AB$2:$AB$504&lt;&gt;""))/D33,"")</f>
        <v>0.21</v>
      </c>
      <c r="L33" s="16" t="n">
        <f aca="false" t="array" ref="L33:L33">IFERROR(MEDIAN(IF((ISNUMBER(실적!$Y$2:$Y$504)*(실적!$Y$2:$Y$504&gt;=B33)*(실적!$Y$2:$Y$504&lt;C33))*ISNUMBER(실적!$AC$2:$AC$504),실적!$AC$2:$AC$504)),"")</f>
        <v>0.00552711801802674</v>
      </c>
    </row>
    <row r="34" customFormat="false" ht="15" hidden="false" customHeight="false" outlineLevel="0" collapsed="false">
      <c r="A34" s="0" t="s">
        <v>1253</v>
      </c>
      <c r="B34" s="16" t="n">
        <f aca="false">PERCENTILE(실적!$Y$2:$Y$504,0)</f>
        <v>-0.663771564544914</v>
      </c>
      <c r="C34" s="16" t="n">
        <f aca="false">PERCENTILE(실적!$Y$2:$Y$504,0.2)</f>
        <v>-0.153508083219645</v>
      </c>
      <c r="D34" s="17" t="n">
        <f aca="false">COUNTIFS(실적!$Y$2:$Y$504,"&gt;="&amp;B34,실적!$Y$2:$Y$504,"&lt;"&amp;C34)</f>
        <v>100</v>
      </c>
      <c r="E34" s="16" t="n">
        <f aca="false" t="array" ref="E34:E34">IFERROR(MEDIAN(IF((ISNUMBER(실적!$Y$2:$Y$504)*(실적!$Y$2:$Y$504&gt;=B34)*(실적!$Y$2:$Y$504&lt;C34))*ISNUMBER(실적!$Y$2:$Y$504),실적!$Y$2:$Y$504)),"")</f>
        <v>-0.293152312824825</v>
      </c>
      <c r="F34" s="16" t="n">
        <f aca="false" t="array" ref="F34:F34">IFERROR(MEDIAN(IF((ISNUMBER(실적!$Y$2:$Y$504)*(실적!$Y$2:$Y$504&gt;=B34)*(실적!$Y$2:$Y$504&lt;C34))*ISNUMBER(실적!$N$2:$N$504),실적!$N$2:$N$504)),"")</f>
        <v>0.0576120693925724</v>
      </c>
      <c r="G34" s="16" t="n">
        <f aca="false" t="array" ref="G34:G34">IFERROR(MEDIAN(IF((ISNUMBER(실적!$Y$2:$Y$504)*(실적!$Y$2:$Y$504&gt;=B34)*(실적!$Y$2:$Y$504&lt;C34))*ISNUMBER(실적!$O$2:$O$504),실적!$O$2:$O$504)),"")</f>
        <v>0.0282075983567529</v>
      </c>
      <c r="H34" s="16" t="n">
        <f aca="false" t="array" ref="H34:H34">IFERROR(MEDIAN(IF((ISNUMBER(실적!$Y$2:$Y$504)*(실적!$Y$2:$Y$504&gt;=B34)*(실적!$Y$2:$Y$504&lt;C34))*ISNUMBER(실적!$P$2:$P$504),실적!$P$2:$P$504)),"")</f>
        <v>0.0366332069047973</v>
      </c>
      <c r="I34" s="16" t="n">
        <f aca="false" t="array" ref="I34:I34">IFERROR(SUM((ISNUMBER(실적!$Y$2:$Y$504)*(실적!$Y$2:$Y$504&gt;=B34)*(실적!$Y$2:$Y$504&lt;C34))*(실적!$T$2:$T$504&lt;&gt;""))/D34,"")</f>
        <v>0.25</v>
      </c>
      <c r="J34" s="16" t="n">
        <f aca="false" t="array" ref="J34:J34">IFERROR(MEDIAN(IF((ISNUMBER(실적!$Y$2:$Y$504)*(실적!$Y$2:$Y$504&gt;=B34)*(실적!$Y$2:$Y$504&lt;C34))*ISNUMBER(실적!$AA$2:$AA$504),실적!$AA$2:$AA$504)),"")</f>
        <v>0.0703315098976411</v>
      </c>
      <c r="K34" s="16" t="n">
        <f aca="false" t="array" ref="K34:K34">IFERROR(SUM((ISNUMBER(실적!$Y$2:$Y$504)*(실적!$Y$2:$Y$504&gt;=B34)*(실적!$Y$2:$Y$504&lt;C34))*(실적!$AB$2:$AB$504&lt;&gt;""))/D34,"")</f>
        <v>0.31</v>
      </c>
      <c r="L34" s="16" t="n">
        <f aca="false" t="array" ref="L34:L34">IFERROR(MEDIAN(IF((ISNUMBER(실적!$Y$2:$Y$504)*(실적!$Y$2:$Y$504&gt;=B34)*(실적!$Y$2:$Y$504&lt;C34))*ISNUMBER(실적!$AC$2:$AC$504),실적!$AC$2:$AC$504)),"")</f>
        <v>-0.0165055071034878</v>
      </c>
    </row>
    <row r="35" customFormat="false" ht="15" hidden="false" customHeight="false" outlineLevel="0" collapsed="false">
      <c r="A35" s="27" t="s">
        <v>1254</v>
      </c>
    </row>
    <row r="38" customFormat="false" ht="16.4" hidden="false" customHeight="false" outlineLevel="0" collapsed="false">
      <c r="A38" s="22" t="s">
        <v>1255</v>
      </c>
    </row>
    <row r="39" customFormat="false" ht="28.35" hidden="false" customHeight="false" outlineLevel="0" collapsed="false">
      <c r="A39" s="23" t="s">
        <v>1256</v>
      </c>
      <c r="B39" s="23" t="s">
        <v>1</v>
      </c>
      <c r="C39" s="23" t="s">
        <v>0</v>
      </c>
      <c r="D39" s="26" t="s">
        <v>21</v>
      </c>
      <c r="E39" s="26" t="s">
        <v>24</v>
      </c>
      <c r="F39" s="23" t="s">
        <v>1257</v>
      </c>
      <c r="G39" s="23" t="s">
        <v>1258</v>
      </c>
      <c r="H39" s="23" t="s">
        <v>1259</v>
      </c>
      <c r="I39" s="23" t="s">
        <v>1260</v>
      </c>
      <c r="J39" s="26" t="s">
        <v>1261</v>
      </c>
      <c r="K39" s="23" t="s">
        <v>20</v>
      </c>
    </row>
    <row r="40" customFormat="false" ht="15" hidden="false" customHeight="false" outlineLevel="0" collapsed="false">
      <c r="A40" s="0" t="n">
        <v>1</v>
      </c>
      <c r="B40" s="0" t="s">
        <v>99</v>
      </c>
      <c r="C40" s="0" t="str">
        <f aca="false">IF(INDEX(실적!$A$2:$A$504,MATCH($B40,실적!$B$2:$B$504,0))="","",INDEX(실적!$A$2:$A$504,MATCH($B40,실적!$B$2:$B$504,0)))</f>
        <v>Sandisk</v>
      </c>
      <c r="D40" s="0" t="str">
        <f aca="false">IF(INDEX(실적!$V$2:$V$504,MATCH($B40,실적!$B$2:$B$504,0))="","",INDEX(실적!$V$2:$V$504,MATCH($B40,실적!$B$2:$B$504,0)))</f>
        <v>Information Technology</v>
      </c>
      <c r="E40" s="16" t="n">
        <f aca="false">IF(INDEX(실적!$Y$2:$Y$504,MATCH($B40,실적!$B$2:$B$504,0))="","",INDEX(실적!$Y$2:$Y$504,MATCH($B40,실적!$B$2:$B$504,0)))</f>
        <v>17.1966332765702</v>
      </c>
      <c r="F40" s="16" t="n">
        <f aca="false">IF(INDEX(실적!$N$2:$N$504,MATCH($B40,실적!$B$2:$B$504,0))="","",INDEX(실적!$N$2:$N$504,MATCH($B40,실적!$B$2:$B$504,0)))</f>
        <v>3.71593897948448</v>
      </c>
      <c r="G40" s="16" t="n">
        <f aca="false">IF(INDEX(실적!$P$2:$P$504,MATCH($B40,실적!$B$2:$B$504,0))="","",INDEX(실적!$P$2:$P$504,MATCH($B40,실적!$B$2:$B$504,0)))</f>
        <v>0.50672268907563</v>
      </c>
      <c r="H40" s="0" t="str">
        <f aca="false">IF(INDEX(실적!$T$2:$T$504,MATCH($B40,실적!$B$2:$B$504,0))="","",INDEX(실적!$T$2:$T$504,MATCH($B40,실적!$B$2:$B$504,0)))</f>
        <v>최근 QoQ≥10%</v>
      </c>
      <c r="I40" s="16" t="n">
        <f aca="false">IF(INDEX(실적!$AA$2:$AA$504,MATCH($B40,실적!$B$2:$B$504,0))="","",INDEX(실적!$AA$2:$AA$504,MATCH($B40,실적!$B$2:$B$504,0)))</f>
        <v>0.114956011730205</v>
      </c>
      <c r="J40" s="0" t="str">
        <f aca="false">IF(INDEX(실적!$AB$2:$AB$504,MATCH($B40,실적!$B$2:$B$504,0))="","",INDEX(실적!$AB$2:$AB$504,MATCH($B40,실적!$B$2:$B$504,0)))</f>
        <v>최근 QoQ≥10%</v>
      </c>
      <c r="K40" s="0" t="str">
        <f aca="false">IF(INDEX(실적!$U$2:$U$504,MATCH($B40,실적!$B$2:$B$504,0))="","",INDEX(실적!$U$2:$U$504,MATCH($B40,실적!$B$2:$B$504,0)))</f>
        <v>낸드 플래시 메모리·SSD 등 데이터 저장장치 제조 (WD에서 분사)</v>
      </c>
    </row>
    <row r="41" customFormat="false" ht="15" hidden="false" customHeight="false" outlineLevel="0" collapsed="false">
      <c r="A41" s="0" t="n">
        <v>2</v>
      </c>
      <c r="B41" s="0" t="s">
        <v>1015</v>
      </c>
      <c r="C41" s="0" t="str">
        <f aca="false">IF(INDEX(실적!$A$2:$A$504,MATCH($B41,실적!$B$2:$B$504,0))="","",INDEX(실적!$A$2:$A$504,MATCH($B41,실적!$B$2:$B$504,0)))</f>
        <v>Moderna</v>
      </c>
      <c r="D41" s="0" t="str">
        <f aca="false">IF(INDEX(실적!$V$2:$V$504,MATCH($B41,실적!$B$2:$B$504,0))="","",INDEX(실적!$V$2:$V$504,MATCH($B41,실적!$B$2:$B$504,0)))</f>
        <v>Health Care</v>
      </c>
      <c r="E41" s="16" t="n">
        <f aca="false">IF(INDEX(실적!$Y$2:$Y$504,MATCH($B41,실적!$B$2:$B$504,0))="","",INDEX(실적!$Y$2:$Y$504,MATCH($B41,실적!$B$2:$B$504,0)))</f>
        <v>6.03670788253478</v>
      </c>
      <c r="F41" s="16" t="n">
        <f aca="false">IF(INDEX(실적!$N$2:$N$504,MATCH($B41,실적!$B$2:$B$504,0))="","",INDEX(실적!$N$2:$N$504,MATCH($B41,실적!$B$2:$B$504,0)))</f>
        <v>0.0437956204379562</v>
      </c>
      <c r="G41" s="16" t="n">
        <f aca="false">IF(INDEX(실적!$P$2:$P$504,MATCH($B41,실적!$B$2:$B$504,0))="","",INDEX(실적!$P$2:$P$504,MATCH($B41,실적!$B$2:$B$504,0)))</f>
        <v>-0.632390745501285</v>
      </c>
      <c r="H41" s="0" t="str">
        <f aca="false">IF(INDEX(실적!$T$2:$T$504,MATCH($B41,실적!$B$2:$B$504,0))="","",INDEX(실적!$T$2:$T$504,MATCH($B41,실적!$B$2:$B$504,0)))</f>
        <v/>
      </c>
      <c r="I41" s="16" t="n">
        <f aca="false">IF(INDEX(실적!$AA$2:$AA$504,MATCH($B41,실적!$B$2:$B$504,0))="","",INDEX(실적!$AA$2:$AA$504,MATCH($B41,실적!$B$2:$B$504,0)))</f>
        <v>-0.410788381742739</v>
      </c>
      <c r="J41" s="0" t="str">
        <f aca="false">IF(INDEX(실적!$AB$2:$AB$504,MATCH($B41,실적!$B$2:$B$504,0))="","",INDEX(실적!$AB$2:$AB$504,MATCH($B41,실적!$B$2:$B$504,0)))</f>
        <v>최근 QoQ≥10%</v>
      </c>
      <c r="K41" s="17" t="s">
        <v>1262</v>
      </c>
    </row>
    <row r="42" customFormat="false" ht="15" hidden="false" customHeight="false" outlineLevel="0" collapsed="false">
      <c r="A42" s="0" t="n">
        <v>3</v>
      </c>
      <c r="B42" s="0" t="s">
        <v>86</v>
      </c>
      <c r="C42" s="0" t="str">
        <f aca="false">IF(INDEX(실적!$A$2:$A$504,MATCH($B42,실적!$B$2:$B$504,0))="","",INDEX(실적!$A$2:$A$504,MATCH($B42,실적!$B$2:$B$504,0)))</f>
        <v>Micron Technology</v>
      </c>
      <c r="D42" s="0" t="str">
        <f aca="false">IF(INDEX(실적!$V$2:$V$504,MATCH($B42,실적!$B$2:$B$504,0))="","",INDEX(실적!$V$2:$V$504,MATCH($B42,실적!$B$2:$B$504,0)))</f>
        <v>Information Technology</v>
      </c>
      <c r="E42" s="16" t="n">
        <f aca="false">IF(INDEX(실적!$Y$2:$Y$504,MATCH($B42,실적!$B$2:$B$504,0))="","",INDEX(실적!$Y$2:$Y$504,MATCH($B42,실적!$B$2:$B$504,0)))</f>
        <v>5.628408880094</v>
      </c>
      <c r="F42" s="16" t="n">
        <f aca="false">IF(INDEX(실적!$N$2:$N$504,MATCH($B42,실적!$B$2:$B$504,0))="","",INDEX(실적!$N$2:$N$504,MATCH($B42,실적!$B$2:$B$504,0)))</f>
        <v>3.45715514460811</v>
      </c>
      <c r="G42" s="16" t="n">
        <f aca="false">IF(INDEX(실적!$P$2:$P$504,MATCH($B42,실적!$B$2:$B$504,0))="","",INDEX(실적!$P$2:$P$504,MATCH($B42,실적!$B$2:$B$504,0)))</f>
        <v>0.737468566638726</v>
      </c>
      <c r="H42" s="0" t="str">
        <f aca="false">IF(INDEX(실적!$T$2:$T$504,MATCH($B42,실적!$B$2:$B$504,0))="","",INDEX(실적!$T$2:$T$504,MATCH($B42,실적!$B$2:$B$504,0)))</f>
        <v>최근 QoQ≥10%</v>
      </c>
      <c r="I42" s="16" t="n">
        <f aca="false">IF(INDEX(실적!$AA$2:$AA$504,MATCH($B42,실적!$B$2:$B$504,0))="","",INDEX(실적!$AA$2:$AA$504,MATCH($B42,실적!$B$2:$B$504,0)))</f>
        <v>0.365585082954045</v>
      </c>
      <c r="J42" s="0" t="str">
        <f aca="false">IF(INDEX(실적!$AB$2:$AB$504,MATCH($B42,실적!$B$2:$B$504,0))="","",INDEX(실적!$AB$2:$AB$504,MATCH($B42,실적!$B$2:$B$504,0)))</f>
        <v>최근 QoQ≥10%</v>
      </c>
      <c r="K42" s="0" t="str">
        <f aca="false">IF(INDEX(실적!$U$2:$U$504,MATCH($B42,실적!$B$2:$B$504,0))="","",INDEX(실적!$U$2:$U$504,MATCH($B42,실적!$B$2:$B$504,0)))</f>
        <v>D램·낸드 메모리 반도체 제조 (AI 서버용 HBM 포함)</v>
      </c>
    </row>
    <row r="43" customFormat="false" ht="15" hidden="false" customHeight="false" outlineLevel="0" collapsed="false">
      <c r="A43" s="0" t="n">
        <v>4</v>
      </c>
      <c r="B43" s="0" t="s">
        <v>195</v>
      </c>
      <c r="C43" s="0" t="str">
        <f aca="false">IF(INDEX(실적!$A$2:$A$504,MATCH($B43,실적!$B$2:$B$504,0))="","",INDEX(실적!$A$2:$A$504,MATCH($B43,실적!$B$2:$B$504,0)))</f>
        <v>Lumentum</v>
      </c>
      <c r="D43" s="0" t="str">
        <f aca="false">IF(INDEX(실적!$V$2:$V$504,MATCH($B43,실적!$B$2:$B$504,0))="","",INDEX(실적!$V$2:$V$504,MATCH($B43,실적!$B$2:$B$504,0)))</f>
        <v>Information Technology</v>
      </c>
      <c r="E43" s="16" t="n">
        <f aca="false">IF(INDEX(실적!$Y$2:$Y$504,MATCH($B43,실적!$B$2:$B$504,0))="","",INDEX(실적!$Y$2:$Y$504,MATCH($B43,실적!$B$2:$B$504,0)))</f>
        <v>5.1342062193126</v>
      </c>
      <c r="F43" s="16" t="n">
        <f aca="false">IF(INDEX(실적!$N$2:$N$504,MATCH($B43,실적!$B$2:$B$504,0))="","",INDEX(실적!$N$2:$N$504,MATCH($B43,실적!$B$2:$B$504,0)))</f>
        <v>1.09340545038486</v>
      </c>
      <c r="G43" s="16" t="n">
        <f aca="false">IF(INDEX(실적!$P$2:$P$504,MATCH($B43,실적!$B$2:$B$504,0))="","",INDEX(실적!$P$2:$P$504,MATCH($B43,실적!$B$2:$B$504,0)))</f>
        <v>0.24480455220188</v>
      </c>
      <c r="H43" s="0" t="str">
        <f aca="false">IF(INDEX(실적!$T$2:$T$504,MATCH($B43,실적!$B$2:$B$504,0))="","",INDEX(실적!$T$2:$T$504,MATCH($B43,실적!$B$2:$B$504,0)))</f>
        <v>최근 QoQ≥10%</v>
      </c>
      <c r="I43" s="16" t="n">
        <f aca="false">IF(INDEX(실적!$AA$2:$AA$504,MATCH($B43,실적!$B$2:$B$504,0))="","",INDEX(실적!$AA$2:$AA$504,MATCH($B43,실적!$B$2:$B$504,0)))</f>
        <v>0.559195588712293</v>
      </c>
      <c r="J43" s="0" t="str">
        <f aca="false">IF(INDEX(실적!$AB$2:$AB$504,MATCH($B43,실적!$B$2:$B$504,0))="","",INDEX(실적!$AB$2:$AB$504,MATCH($B43,실적!$B$2:$B$504,0)))</f>
        <v>최근 QoQ≥10%</v>
      </c>
      <c r="K43" s="0" t="str">
        <f aca="false">IF(INDEX(실적!$U$2:$U$504,MATCH($B43,실적!$B$2:$B$504,0))="","",INDEX(실적!$U$2:$U$504,MATCH($B43,실적!$B$2:$B$504,0)))</f>
        <v>광통신 부품·레이저 (데이터센터용 광트랜시버)</v>
      </c>
    </row>
    <row r="44" customFormat="false" ht="15" hidden="false" customHeight="false" outlineLevel="0" collapsed="false">
      <c r="A44" s="0" t="n">
        <v>5</v>
      </c>
      <c r="B44" s="0" t="s">
        <v>397</v>
      </c>
      <c r="C44" s="0" t="str">
        <f aca="false">IF(INDEX(실적!$A$2:$A$504,MATCH($B44,실적!$B$2:$B$504,0))="","",INDEX(실적!$A$2:$A$504,MATCH($B44,실적!$B$2:$B$504,0)))</f>
        <v>Western Digital</v>
      </c>
      <c r="D44" s="0" t="str">
        <f aca="false">IF(INDEX(실적!$V$2:$V$504,MATCH($B44,실적!$B$2:$B$504,0))="","",INDEX(실적!$V$2:$V$504,MATCH($B44,실적!$B$2:$B$504,0)))</f>
        <v>Information Technology</v>
      </c>
      <c r="E44" s="16" t="n">
        <f aca="false">IF(INDEX(실적!$Y$2:$Y$504,MATCH($B44,실적!$B$2:$B$504,0))="","",INDEX(실적!$Y$2:$Y$504,MATCH($B44,실적!$B$2:$B$504,0)))</f>
        <v>3.31844288449266</v>
      </c>
      <c r="F44" s="16" t="n">
        <f aca="false">IF(INDEX(실적!$N$2:$N$504,MATCH($B44,실적!$B$2:$B$504,0))="","",INDEX(실적!$N$2:$N$504,MATCH($B44,실적!$B$2:$B$504,0)))</f>
        <v>0.438387715930902</v>
      </c>
      <c r="G44" s="16" t="n">
        <f aca="false">IF(INDEX(실적!$P$2:$P$504,MATCH($B44,실적!$B$2:$B$504,0))="","",INDEX(실적!$P$2:$P$504,MATCH($B44,실적!$B$2:$B$504,0)))</f>
        <v>0.122864848666467</v>
      </c>
      <c r="H44" s="0" t="str">
        <f aca="false">IF(INDEX(실적!$T$2:$T$504,MATCH($B44,실적!$B$2:$B$504,0))="","",INDEX(실적!$T$2:$T$504,MATCH($B44,실적!$B$2:$B$504,0)))</f>
        <v>최근 QoQ≥10%</v>
      </c>
      <c r="I44" s="16" t="n">
        <f aca="false">IF(INDEX(실적!$AA$2:$AA$504,MATCH($B44,실적!$B$2:$B$504,0))="","",INDEX(실적!$AA$2:$AA$504,MATCH($B44,실적!$B$2:$B$504,0)))</f>
        <v>0.299900199600798</v>
      </c>
      <c r="J44" s="0" t="str">
        <f aca="false">IF(INDEX(실적!$AB$2:$AB$504,MATCH($B44,실적!$B$2:$B$504,0))="","",INDEX(실적!$AB$2:$AB$504,MATCH($B44,실적!$B$2:$B$504,0)))</f>
        <v>최근 QoQ≥10%</v>
      </c>
      <c r="K44" s="0" t="str">
        <f aca="false">IF(INDEX(실적!$U$2:$U$504,MATCH($B44,실적!$B$2:$B$504,0))="","",INDEX(실적!$U$2:$U$504,MATCH($B44,실적!$B$2:$B$504,0)))</f>
        <v>하드디스크(HDD) 데이터 저장장치</v>
      </c>
    </row>
    <row r="45" customFormat="false" ht="15" hidden="false" customHeight="false" outlineLevel="0" collapsed="false">
      <c r="A45" s="0" t="n">
        <v>6</v>
      </c>
      <c r="B45" s="0" t="s">
        <v>551</v>
      </c>
      <c r="C45" s="0" t="str">
        <f aca="false">IF(INDEX(실적!$A$2:$A$504,MATCH($B45,실적!$B$2:$B$504,0))="","",INDEX(실적!$A$2:$A$504,MATCH($B45,실적!$B$2:$B$504,0)))</f>
        <v>Dell Technologies</v>
      </c>
      <c r="D45" s="0" t="str">
        <f aca="false">IF(INDEX(실적!$V$2:$V$504,MATCH($B45,실적!$B$2:$B$504,0))="","",INDEX(실적!$V$2:$V$504,MATCH($B45,실적!$B$2:$B$504,0)))</f>
        <v>Information Technology</v>
      </c>
      <c r="E45" s="16" t="n">
        <f aca="false">IF(INDEX(실적!$Y$2:$Y$504,MATCH($B45,실적!$B$2:$B$504,0))="","",INDEX(실적!$Y$2:$Y$504,MATCH($B45,실적!$B$2:$B$504,0)))</f>
        <v>3.16254069195246</v>
      </c>
      <c r="F45" s="16" t="n">
        <f aca="false">IF(INDEX(실적!$N$2:$N$504,MATCH($B45,실적!$B$2:$B$504,0))="","",INDEX(실적!$N$2:$N$504,MATCH($B45,실적!$B$2:$B$504,0)))</f>
        <v>0.577478506179473</v>
      </c>
      <c r="G45" s="16" t="n">
        <f aca="false">IF(INDEX(실적!$P$2:$P$504,MATCH($B45,실적!$B$2:$B$504,0))="","",INDEX(실적!$P$2:$P$504,MATCH($B45,실적!$B$2:$B$504,0)))</f>
        <v>0.0713699192555084</v>
      </c>
      <c r="H45" s="0" t="str">
        <f aca="false">IF(INDEX(실적!$T$2:$T$504,MATCH($B45,실적!$B$2:$B$504,0))="","",INDEX(실적!$T$2:$T$504,MATCH($B45,실적!$B$2:$B$504,0)))</f>
        <v/>
      </c>
      <c r="I45" s="16" t="n">
        <f aca="false">IF(INDEX(실적!$AA$2:$AA$504,MATCH($B45,실적!$B$2:$B$504,0))="","",INDEX(실적!$AA$2:$AA$504,MATCH($B45,실적!$B$2:$B$504,0)))</f>
        <v>0.189802605290498</v>
      </c>
      <c r="J45" s="0" t="str">
        <f aca="false">IF(INDEX(실적!$AB$2:$AB$504,MATCH($B45,실적!$B$2:$B$504,0))="","",INDEX(실적!$AB$2:$AB$504,MATCH($B45,실적!$B$2:$B$504,0)))</f>
        <v>최근 QoQ≥10%</v>
      </c>
      <c r="K45" s="17" t="s">
        <v>1263</v>
      </c>
    </row>
    <row r="46" customFormat="false" ht="15" hidden="false" customHeight="false" outlineLevel="0" collapsed="false">
      <c r="A46" s="0" t="n">
        <v>7</v>
      </c>
      <c r="B46" s="0" t="s">
        <v>296</v>
      </c>
      <c r="C46" s="0" t="str">
        <f aca="false">IF(INDEX(실적!$A$2:$A$504,MATCH($B46,실적!$B$2:$B$504,0))="","",INDEX(실적!$A$2:$A$504,MATCH($B46,실적!$B$2:$B$504,0)))</f>
        <v>Seagate Technology</v>
      </c>
      <c r="D46" s="0" t="str">
        <f aca="false">IF(INDEX(실적!$V$2:$V$504,MATCH($B46,실적!$B$2:$B$504,0))="","",INDEX(실적!$V$2:$V$504,MATCH($B46,실적!$B$2:$B$504,0)))</f>
        <v>Information Technology</v>
      </c>
      <c r="E46" s="16" t="n">
        <f aca="false">IF(INDEX(실적!$Y$2:$Y$504,MATCH($B46,실적!$B$2:$B$504,0))="","",INDEX(실적!$Y$2:$Y$504,MATCH($B46,실적!$B$2:$B$504,0)))</f>
        <v>3.12990612427358</v>
      </c>
      <c r="F46" s="16" t="n">
        <f aca="false">IF(INDEX(실적!$N$2:$N$504,MATCH($B46,실적!$B$2:$B$504,0))="","",INDEX(실적!$N$2:$N$504,MATCH($B46,실적!$B$2:$B$504,0)))</f>
        <v>0.484860883797054</v>
      </c>
      <c r="G46" s="16" t="n">
        <f aca="false">IF(INDEX(실적!$P$2:$P$504,MATCH($B46,실적!$B$2:$B$504,0))="","",INDEX(실적!$P$2:$P$504,MATCH($B46,실적!$B$2:$B$504,0)))</f>
        <v>0.166131105398458</v>
      </c>
      <c r="H46" s="0" t="str">
        <f aca="false">IF(INDEX(실적!$T$2:$T$504,MATCH($B46,실적!$B$2:$B$504,0))="","",INDEX(실적!$T$2:$T$504,MATCH($B46,실적!$B$2:$B$504,0)))</f>
        <v>최근 QoQ≥10%</v>
      </c>
      <c r="I46" s="16" t="n">
        <f aca="false">IF(INDEX(실적!$AA$2:$AA$504,MATCH($B46,실적!$B$2:$B$504,0))="","",INDEX(실적!$AA$2:$AA$504,MATCH($B46,실적!$B$2:$B$504,0)))</f>
        <v>0.295177530471648</v>
      </c>
      <c r="J46" s="0" t="str">
        <f aca="false">IF(INDEX(실적!$AB$2:$AB$504,MATCH($B46,실적!$B$2:$B$504,0))="","",INDEX(실적!$AB$2:$AB$504,MATCH($B46,실적!$B$2:$B$504,0)))</f>
        <v>최근 QoQ≥10%</v>
      </c>
      <c r="K46" s="0" t="str">
        <f aca="false">IF(INDEX(실적!$U$2:$U$504,MATCH($B46,실적!$B$2:$B$504,0))="","",INDEX(실적!$U$2:$U$504,MATCH($B46,실적!$B$2:$B$504,0)))</f>
        <v>하드디스크(HDD) 등 데이터 저장장치</v>
      </c>
    </row>
    <row r="47" customFormat="false" ht="15" hidden="false" customHeight="false" outlineLevel="0" collapsed="false">
      <c r="A47" s="0" t="n">
        <v>8</v>
      </c>
      <c r="B47" s="0" t="s">
        <v>109</v>
      </c>
      <c r="C47" s="0" t="str">
        <f aca="false">IF(INDEX(실적!$A$2:$A$504,MATCH($B47,실적!$B$2:$B$504,0))="","",INDEX(실적!$A$2:$A$504,MATCH($B47,실적!$B$2:$B$504,0)))</f>
        <v>Bloom Energy</v>
      </c>
      <c r="D47" s="0" t="str">
        <f aca="false">IF(INDEX(실적!$V$2:$V$504,MATCH($B47,실적!$B$2:$B$504,0))="","",INDEX(실적!$V$2:$V$504,MATCH($B47,실적!$B$2:$B$504,0)))</f>
        <v>Industrials</v>
      </c>
      <c r="E47" s="16" t="n">
        <f aca="false">IF(INDEX(실적!$Y$2:$Y$504,MATCH($B47,실적!$B$2:$B$504,0))="","",INDEX(실적!$Y$2:$Y$504,MATCH($B47,실적!$B$2:$B$504,0)))</f>
        <v>2.97788378143972</v>
      </c>
      <c r="F47" s="16" t="n">
        <f aca="false">IF(INDEX(실적!$N$2:$N$504,MATCH($B47,실적!$B$2:$B$504,0))="","",INDEX(실적!$N$2:$N$504,MATCH($B47,실적!$B$2:$B$504,0)))</f>
        <v>1.65516820273052</v>
      </c>
      <c r="G47" s="16" t="n">
        <f aca="false">IF(INDEX(실적!$P$2:$P$504,MATCH($B47,실적!$B$2:$B$504,0))="","",INDEX(실적!$P$2:$P$504,MATCH($B47,실적!$B$2:$B$504,0)))</f>
        <v>0.418493210874318</v>
      </c>
      <c r="H47" s="0" t="str">
        <f aca="false">IF(INDEX(실적!$T$2:$T$504,MATCH($B47,실적!$B$2:$B$504,0))="","",INDEX(실적!$T$2:$T$504,MATCH($B47,실적!$B$2:$B$504,0)))</f>
        <v>최근 QoQ≥10%</v>
      </c>
      <c r="I47" s="16" t="n">
        <f aca="false">IF(INDEX(실적!$AA$2:$AA$504,MATCH($B47,실적!$B$2:$B$504,0))="","",INDEX(실적!$AA$2:$AA$504,MATCH($B47,실적!$B$2:$B$504,0)))</f>
        <v>0.195001295541253</v>
      </c>
      <c r="J47" s="0" t="str">
        <f aca="false">IF(INDEX(실적!$AB$2:$AB$504,MATCH($B47,실적!$B$2:$B$504,0))="","",INDEX(실적!$AB$2:$AB$504,MATCH($B47,실적!$B$2:$B$504,0)))</f>
        <v>최근 QoQ≥10%</v>
      </c>
      <c r="K47" s="0" t="str">
        <f aca="false">IF(INDEX(실적!$U$2:$U$504,MATCH($B47,실적!$B$2:$B$504,0))="","",INDEX(실적!$U$2:$U$504,MATCH($B47,실적!$B$2:$B$504,0)))</f>
        <v>고체산화물 연료전지 기반 현장 발전 시스템 (데이터센터 전력 공급)</v>
      </c>
    </row>
    <row r="48" customFormat="false" ht="15" hidden="false" customHeight="false" outlineLevel="0" collapsed="false">
      <c r="A48" s="0" t="n">
        <v>9</v>
      </c>
      <c r="B48" s="0" t="s">
        <v>261</v>
      </c>
      <c r="C48" s="0" t="str">
        <f aca="false">IF(INDEX(실적!$A$2:$A$504,MATCH($B48,실적!$B$2:$B$504,0))="","",INDEX(실적!$A$2:$A$504,MATCH($B48,실적!$B$2:$B$504,0)))</f>
        <v>Intel</v>
      </c>
      <c r="D48" s="0" t="str">
        <f aca="false">IF(INDEX(실적!$V$2:$V$504,MATCH($B48,실적!$B$2:$B$504,0))="","",INDEX(실적!$V$2:$V$504,MATCH($B48,실적!$B$2:$B$504,0)))</f>
        <v>Information Technology</v>
      </c>
      <c r="E48" s="16" t="n">
        <f aca="false">IF(INDEX(실적!$Y$2:$Y$504,MATCH($B48,실적!$B$2:$B$504,0))="","",INDEX(실적!$Y$2:$Y$504,MATCH($B48,실적!$B$2:$B$504,0)))</f>
        <v>2.92696989109545</v>
      </c>
      <c r="F48" s="16" t="n">
        <f aca="false">IF(INDEX(실적!$N$2:$N$504,MATCH($B48,실적!$B$2:$B$504,0))="","",INDEX(실적!$N$2:$N$504,MATCH($B48,실적!$B$2:$B$504,0)))</f>
        <v>0.254218835057158</v>
      </c>
      <c r="G48" s="16" t="n">
        <f aca="false">IF(INDEX(실적!$P$2:$P$504,MATCH($B48,실적!$B$2:$B$504,0))="","",INDEX(실적!$P$2:$P$504,MATCH($B48,실적!$B$2:$B$504,0)))</f>
        <v>0.187891286734919</v>
      </c>
      <c r="H48" s="0" t="str">
        <f aca="false">IF(INDEX(실적!$T$2:$T$504,MATCH($B48,실적!$B$2:$B$504,0))="","",INDEX(실적!$T$2:$T$504,MATCH($B48,실적!$B$2:$B$504,0)))</f>
        <v>최근 QoQ≥10%</v>
      </c>
      <c r="I48" s="16" t="n">
        <f aca="false">IF(INDEX(실적!$AA$2:$AA$504,MATCH($B48,실적!$B$2:$B$504,0))="","",INDEX(실적!$AA$2:$AA$504,MATCH($B48,실적!$B$2:$B$504,0)))</f>
        <v>0.00202602665004292</v>
      </c>
      <c r="J48" s="0" t="str">
        <f aca="false">IF(INDEX(실적!$AB$2:$AB$504,MATCH($B48,실적!$B$2:$B$504,0))="","",INDEX(실적!$AB$2:$AB$504,MATCH($B48,실적!$B$2:$B$504,0)))</f>
        <v/>
      </c>
      <c r="K48" s="0" t="str">
        <f aca="false">IF(INDEX(실적!$U$2:$U$504,MATCH($B48,실적!$B$2:$B$504,0))="","",INDEX(실적!$U$2:$U$504,MATCH($B48,실적!$B$2:$B$504,0)))</f>
        <v>PC·서버용 CPU 반도체 및 파운드리</v>
      </c>
    </row>
    <row r="49" customFormat="false" ht="15" hidden="false" customHeight="false" outlineLevel="0" collapsed="false">
      <c r="A49" s="0" t="n">
        <v>10</v>
      </c>
      <c r="B49" s="0" t="s">
        <v>391</v>
      </c>
      <c r="C49" s="0" t="str">
        <f aca="false">IF(INDEX(실적!$A$2:$A$504,MATCH($B49,실적!$B$2:$B$504,0))="","",INDEX(실적!$A$2:$A$504,MATCH($B49,실적!$B$2:$B$504,0)))</f>
        <v>Advanced Micro Devices</v>
      </c>
      <c r="D49" s="0" t="str">
        <f aca="false">IF(INDEX(실적!$V$2:$V$504,MATCH($B49,실적!$B$2:$B$504,0))="","",INDEX(실적!$V$2:$V$504,MATCH($B49,실적!$B$2:$B$504,0)))</f>
        <v>Information Technology</v>
      </c>
      <c r="E49" s="16" t="n">
        <f aca="false">IF(INDEX(실적!$Y$2:$Y$504,MATCH($B49,실적!$B$2:$B$504,0))="","",INDEX(실적!$Y$2:$Y$504,MATCH($B49,실적!$B$2:$B$504,0)))</f>
        <v>2.82030084535057</v>
      </c>
      <c r="F49" s="16" t="n">
        <f aca="false">IF(INDEX(실적!$N$2:$N$504,MATCH($B49,실적!$B$2:$B$504,0))="","",INDEX(실적!$N$2:$N$504,MATCH($B49,실적!$B$2:$B$504,0)))</f>
        <v>0.501106050748211</v>
      </c>
      <c r="G49" s="16" t="n">
        <f aca="false">IF(INDEX(실적!$P$2:$P$504,MATCH($B49,실적!$B$2:$B$504,0))="","",INDEX(실적!$P$2:$P$504,MATCH($B49,실적!$B$2:$B$504,0)))</f>
        <v>0.125134107090608</v>
      </c>
      <c r="H49" s="0" t="str">
        <f aca="false">IF(INDEX(실적!$T$2:$T$504,MATCH($B49,실적!$B$2:$B$504,0))="","",INDEX(실적!$T$2:$T$504,MATCH($B49,실적!$B$2:$B$504,0)))</f>
        <v>최근 QoQ≥10%</v>
      </c>
      <c r="I49" s="16" t="n">
        <f aca="false">IF(INDEX(실적!$AA$2:$AA$504,MATCH($B49,실적!$B$2:$B$504,0))="","",INDEX(실적!$AA$2:$AA$504,MATCH($B49,실적!$B$2:$B$504,0)))</f>
        <v>0.317052270779777</v>
      </c>
      <c r="J49" s="0" t="str">
        <f aca="false">IF(INDEX(실적!$AB$2:$AB$504,MATCH($B49,실적!$B$2:$B$504,0))="","",INDEX(실적!$AB$2:$AB$504,MATCH($B49,실적!$B$2:$B$504,0)))</f>
        <v/>
      </c>
      <c r="K49" s="0" t="str">
        <f aca="false">IF(INDEX(실적!$U$2:$U$504,MATCH($B49,실적!$B$2:$B$504,0))="","",INDEX(실적!$U$2:$U$504,MATCH($B49,실적!$B$2:$B$504,0)))</f>
        <v>CPU·GPU·AI 가속기 등 반도체 설계</v>
      </c>
    </row>
    <row r="50" customFormat="false" ht="15" hidden="false" customHeight="false" outlineLevel="0" collapsed="false">
      <c r="A50" s="0" t="n">
        <v>11</v>
      </c>
      <c r="B50" s="0" t="s">
        <v>53</v>
      </c>
      <c r="C50" s="0" t="str">
        <f aca="false">IF(INDEX(실적!$A$2:$A$504,MATCH($B50,실적!$B$2:$B$504,0))="","",INDEX(실적!$A$2:$A$504,MATCH($B50,실적!$B$2:$B$504,0)))</f>
        <v>Marvell Technology</v>
      </c>
      <c r="D50" s="0" t="str">
        <f aca="false">IF(INDEX(실적!$V$2:$V$504,MATCH($B50,실적!$B$2:$B$504,0))="","",INDEX(실적!$V$2:$V$504,MATCH($B50,실적!$B$2:$B$504,0)))</f>
        <v>Information Technology</v>
      </c>
      <c r="E50" s="16" t="n">
        <f aca="false">IF(INDEX(실적!$Y$2:$Y$504,MATCH($B50,실적!$B$2:$B$504,0))="","",INDEX(실적!$Y$2:$Y$504,MATCH($B50,실적!$B$2:$B$504,0)))</f>
        <v>2.25758521663129</v>
      </c>
      <c r="F50" s="16" t="n">
        <f aca="false">IF(INDEX(실적!$N$2:$N$504,MATCH($B50,실적!$B$2:$B$504,0))="","",INDEX(실적!$N$2:$N$504,MATCH($B50,실적!$B$2:$B$504,0)))</f>
        <v>0.365485269926724</v>
      </c>
      <c r="G50" s="16" t="n">
        <f aca="false">IF(INDEX(실적!$P$2:$P$504,MATCH($B50,실적!$B$2:$B$504,0))="","",INDEX(실적!$P$2:$P$504,MATCH($B50,실적!$B$2:$B$504,0)))</f>
        <v>0.132972123417983</v>
      </c>
      <c r="H50" s="0" t="str">
        <f aca="false">IF(INDEX(실적!$T$2:$T$504,MATCH($B50,실적!$B$2:$B$504,0))="","",INDEX(실적!$T$2:$T$504,MATCH($B50,실적!$B$2:$B$504,0)))</f>
        <v>QoQ 가속 + 최근 QoQ≥10%</v>
      </c>
      <c r="I50" s="16" t="n">
        <f aca="false">IF(INDEX(실적!$AA$2:$AA$504,MATCH($B50,실적!$B$2:$B$504,0))="","",INDEX(실적!$AA$2:$AA$504,MATCH($B50,실적!$B$2:$B$504,0)))</f>
        <v>0.576007541833608</v>
      </c>
      <c r="J50" s="0" t="str">
        <f aca="false">IF(INDEX(실적!$AB$2:$AB$504,MATCH($B50,실적!$B$2:$B$504,0))="","",INDEX(실적!$AB$2:$AB$504,MATCH($B50,실적!$B$2:$B$504,0)))</f>
        <v/>
      </c>
      <c r="K50" s="0" t="str">
        <f aca="false">IF(INDEX(실적!$U$2:$U$504,MATCH($B50,실적!$B$2:$B$504,0))="","",INDEX(실적!$U$2:$U$504,MATCH($B50,실적!$B$2:$B$504,0)))</f>
        <v>데이터센터용 맞춤형 AI 칩·광통신·네트워크 반도체</v>
      </c>
    </row>
    <row r="51" customFormat="false" ht="15" hidden="false" customHeight="false" outlineLevel="0" collapsed="false">
      <c r="A51" s="0" t="n">
        <v>12</v>
      </c>
      <c r="B51" s="0" t="s">
        <v>543</v>
      </c>
      <c r="C51" s="0" t="str">
        <f aca="false">IF(INDEX(실적!$A$2:$A$504,MATCH($B51,실적!$B$2:$B$504,0))="","",INDEX(실적!$A$2:$A$504,MATCH($B51,실적!$B$2:$B$504,0)))</f>
        <v>Teradyne</v>
      </c>
      <c r="D51" s="0" t="str">
        <f aca="false">IF(INDEX(실적!$V$2:$V$504,MATCH($B51,실적!$B$2:$B$504,0))="","",INDEX(실적!$V$2:$V$504,MATCH($B51,실적!$B$2:$B$504,0)))</f>
        <v>Information Technology</v>
      </c>
      <c r="E51" s="16" t="n">
        <f aca="false">IF(INDEX(실적!$Y$2:$Y$504,MATCH($B51,실적!$B$2:$B$504,0))="","",INDEX(실적!$Y$2:$Y$504,MATCH($B51,실적!$B$2:$B$504,0)))</f>
        <v>1.92125215824638</v>
      </c>
      <c r="F51" s="16" t="n">
        <f aca="false">IF(INDEX(실적!$N$2:$N$504,MATCH($B51,실적!$B$2:$B$504,0))="","",INDEX(실적!$N$2:$N$504,MATCH($B51,실적!$B$2:$B$504,0)))</f>
        <v>1.03896305137949</v>
      </c>
      <c r="G51" s="16" t="n">
        <f aca="false">IF(INDEX(실적!$P$2:$P$504,MATCH($B51,실적!$B$2:$B$504,0))="","",INDEX(실적!$P$2:$P$504,MATCH($B51,실적!$B$2:$B$504,0)))</f>
        <v>0.0362543606441823</v>
      </c>
      <c r="H51" s="0" t="str">
        <f aca="false">IF(INDEX(실적!$T$2:$T$504,MATCH($B51,실적!$B$2:$B$504,0))="","",INDEX(실적!$T$2:$T$504,MATCH($B51,실적!$B$2:$B$504,0)))</f>
        <v/>
      </c>
      <c r="I51" s="16" t="n">
        <f aca="false">IF(INDEX(실적!$AA$2:$AA$504,MATCH($B51,실적!$B$2:$B$504,0))="","",INDEX(실적!$AA$2:$AA$504,MATCH($B51,실적!$B$2:$B$504,0)))</f>
        <v>-0.106979376033562</v>
      </c>
      <c r="J51" s="0" t="str">
        <f aca="false">IF(INDEX(실적!$AB$2:$AB$504,MATCH($B51,실적!$B$2:$B$504,0))="","",INDEX(실적!$AB$2:$AB$504,MATCH($B51,실적!$B$2:$B$504,0)))</f>
        <v/>
      </c>
      <c r="K51" s="19" t="s">
        <v>1264</v>
      </c>
    </row>
    <row r="52" customFormat="false" ht="15" hidden="false" customHeight="false" outlineLevel="0" collapsed="false">
      <c r="A52" s="0" t="n">
        <v>13</v>
      </c>
      <c r="B52" s="0" t="s">
        <v>56</v>
      </c>
      <c r="C52" s="0" t="str">
        <f aca="false">IF(INDEX(실적!$A$2:$A$504,MATCH($B52,실적!$B$2:$B$504,0))="","",INDEX(실적!$A$2:$A$504,MATCH($B52,실적!$B$2:$B$504,0)))</f>
        <v>Coherent Corp.</v>
      </c>
      <c r="D52" s="0" t="str">
        <f aca="false">IF(INDEX(실적!$V$2:$V$504,MATCH($B52,실적!$B$2:$B$504,0))="","",INDEX(실적!$V$2:$V$504,MATCH($B52,실적!$B$2:$B$504,0)))</f>
        <v>Information Technology</v>
      </c>
      <c r="E52" s="16" t="n">
        <f aca="false">IF(INDEX(실적!$Y$2:$Y$504,MATCH($B52,실적!$B$2:$B$504,0))="","",INDEX(실적!$Y$2:$Y$504,MATCH($B52,실적!$B$2:$B$504,0)))</f>
        <v>1.82200525722869</v>
      </c>
      <c r="F52" s="16" t="n">
        <f aca="false">IF(INDEX(실적!$N$2:$N$504,MATCH($B52,실적!$B$2:$B$504,0))="","",INDEX(실적!$N$2:$N$504,MATCH($B52,실적!$B$2:$B$504,0)))</f>
        <v>0.337442691292738</v>
      </c>
      <c r="G52" s="16" t="n">
        <f aca="false">IF(INDEX(실적!$P$2:$P$504,MATCH($B52,실적!$B$2:$B$504,0))="","",INDEX(실적!$P$2:$P$504,MATCH($B52,실적!$B$2:$B$504,0)))</f>
        <v>0.132856974337645</v>
      </c>
      <c r="H52" s="0" t="str">
        <f aca="false">IF(INDEX(실적!$T$2:$T$504,MATCH($B52,실적!$B$2:$B$504,0))="","",INDEX(실적!$T$2:$T$504,MATCH($B52,실적!$B$2:$B$504,0)))</f>
        <v>QoQ 가속 + 최근 QoQ≥10%</v>
      </c>
      <c r="I52" s="16" t="n">
        <f aca="false">IF(INDEX(실적!$AA$2:$AA$504,MATCH($B52,실적!$B$2:$B$504,0))="","",INDEX(실적!$AA$2:$AA$504,MATCH($B52,실적!$B$2:$B$504,0)))</f>
        <v>0.1636337629968</v>
      </c>
      <c r="J52" s="0" t="str">
        <f aca="false">IF(INDEX(실적!$AB$2:$AB$504,MATCH($B52,실적!$B$2:$B$504,0))="","",INDEX(실적!$AB$2:$AB$504,MATCH($B52,실적!$B$2:$B$504,0)))</f>
        <v/>
      </c>
      <c r="K52" s="0" t="str">
        <f aca="false">IF(INDEX(실적!$U$2:$U$504,MATCH($B52,실적!$B$2:$B$504,0))="","",INDEX(실적!$U$2:$U$504,MATCH($B52,실적!$B$2:$B$504,0)))</f>
        <v>레이저·광트랜시버 등 광학·광전자 부품</v>
      </c>
    </row>
    <row r="53" customFormat="false" ht="15" hidden="false" customHeight="false" outlineLevel="0" collapsed="false">
      <c r="A53" s="0" t="n">
        <v>14</v>
      </c>
      <c r="B53" s="0" t="s">
        <v>987</v>
      </c>
      <c r="C53" s="0" t="str">
        <f aca="false">IF(INDEX(실적!$A$2:$A$504,MATCH($B53,실적!$B$2:$B$504,0))="","",INDEX(실적!$A$2:$A$504,MATCH($B53,실적!$B$2:$B$504,0)))</f>
        <v>Illumina, Inc.</v>
      </c>
      <c r="D53" s="0" t="str">
        <f aca="false">IF(INDEX(실적!$V$2:$V$504,MATCH($B53,실적!$B$2:$B$504,0))="","",INDEX(실적!$V$2:$V$504,MATCH($B53,실적!$B$2:$B$504,0)))</f>
        <v>Health Care</v>
      </c>
      <c r="E53" s="16" t="n">
        <f aca="false">IF(INDEX(실적!$Y$2:$Y$504,MATCH($B53,실적!$B$2:$B$504,0))="","",INDEX(실적!$Y$2:$Y$504,MATCH($B53,실적!$B$2:$B$504,0)))</f>
        <v>1.70501006249338</v>
      </c>
      <c r="F53" s="16" t="n">
        <f aca="false">IF(INDEX(실적!$N$2:$N$504,MATCH($B53,실적!$B$2:$B$504,0))="","",INDEX(실적!$N$2:$N$504,MATCH($B53,실적!$B$2:$B$504,0)))</f>
        <v>0.048030739673391</v>
      </c>
      <c r="G53" s="16" t="n">
        <f aca="false">IF(INDEX(실적!$P$2:$P$504,MATCH($B53,실적!$B$2:$B$504,0))="","",INDEX(실적!$P$2:$P$504,MATCH($B53,실적!$B$2:$B$504,0)))</f>
        <v>-0.0586712683347713</v>
      </c>
      <c r="H53" s="0" t="str">
        <f aca="false">IF(INDEX(실적!$T$2:$T$504,MATCH($B53,실적!$B$2:$B$504,0))="","",INDEX(실적!$T$2:$T$504,MATCH($B53,실적!$B$2:$B$504,0)))</f>
        <v/>
      </c>
      <c r="I53" s="16" t="n">
        <f aca="false">IF(INDEX(실적!$AA$2:$AA$504,MATCH($B53,실적!$B$2:$B$504,0))="","",INDEX(실적!$AA$2:$AA$504,MATCH($B53,실적!$B$2:$B$504,0)))</f>
        <v>-0.0476618705035972</v>
      </c>
      <c r="J53" s="0" t="str">
        <f aca="false">IF(INDEX(실적!$AB$2:$AB$504,MATCH($B53,실적!$B$2:$B$504,0))="","",INDEX(실적!$AB$2:$AB$504,MATCH($B53,실적!$B$2:$B$504,0)))</f>
        <v/>
      </c>
      <c r="K53" s="19" t="s">
        <v>1265</v>
      </c>
    </row>
    <row r="54" customFormat="false" ht="15" hidden="false" customHeight="false" outlineLevel="0" collapsed="false">
      <c r="A54" s="0" t="n">
        <v>15</v>
      </c>
      <c r="B54" s="0" t="s">
        <v>559</v>
      </c>
      <c r="C54" s="0" t="str">
        <f aca="false">IF(INDEX(실적!$A$2:$A$504,MATCH($B54,실적!$B$2:$B$504,0))="","",INDEX(실적!$A$2:$A$504,MATCH($B54,실적!$B$2:$B$504,0)))</f>
        <v>Ciena</v>
      </c>
      <c r="D54" s="0" t="str">
        <f aca="false">IF(INDEX(실적!$V$2:$V$504,MATCH($B54,실적!$B$2:$B$504,0))="","",INDEX(실적!$V$2:$V$504,MATCH($B54,실적!$B$2:$B$504,0)))</f>
        <v>Information Technology</v>
      </c>
      <c r="E54" s="16" t="n">
        <f aca="false">IF(INDEX(실적!$Y$2:$Y$504,MATCH($B54,실적!$B$2:$B$504,0))="","",INDEX(실적!$Y$2:$Y$504,MATCH($B54,실적!$B$2:$B$504,0)))</f>
        <v>1.57123248085537</v>
      </c>
      <c r="F54" s="16" t="n">
        <f aca="false">IF(INDEX(실적!$N$2:$N$504,MATCH($B54,실적!$B$2:$B$504,0))="","",INDEX(실적!$N$2:$N$504,MATCH($B54,실적!$B$2:$B$504,0)))</f>
        <v>0.370468719887484</v>
      </c>
      <c r="G54" s="16" t="n">
        <f aca="false">IF(INDEX(실적!$P$2:$P$504,MATCH($B54,실적!$B$2:$B$504,0))="","",INDEX(실적!$P$2:$P$504,MATCH($B54,실적!$B$2:$B$504,0)))</f>
        <v>0.063912591461726</v>
      </c>
      <c r="H54" s="0" t="str">
        <f aca="false">IF(INDEX(실적!$T$2:$T$504,MATCH($B54,실적!$B$2:$B$504,0))="","",INDEX(실적!$T$2:$T$504,MATCH($B54,실적!$B$2:$B$504,0)))</f>
        <v/>
      </c>
      <c r="I54" s="16" t="n">
        <f aca="false">IF(INDEX(실적!$AA$2:$AA$504,MATCH($B54,실적!$B$2:$B$504,0))="","",INDEX(실적!$AA$2:$AA$504,MATCH($B54,실적!$B$2:$B$504,0)))</f>
        <v>0.294040801945861</v>
      </c>
      <c r="J54" s="0" t="str">
        <f aca="false">IF(INDEX(실적!$AB$2:$AB$504,MATCH($B54,실적!$B$2:$B$504,0))="","",INDEX(실적!$AB$2:$AB$504,MATCH($B54,실적!$B$2:$B$504,0)))</f>
        <v/>
      </c>
      <c r="K54" s="19" t="s">
        <v>1266</v>
      </c>
    </row>
    <row r="55" customFormat="false" ht="15" hidden="false" customHeight="false" outlineLevel="0" collapsed="false">
      <c r="A55" s="0" t="n">
        <v>16</v>
      </c>
      <c r="B55" s="0" t="s">
        <v>332</v>
      </c>
      <c r="C55" s="0" t="str">
        <f aca="false">IF(INDEX(실적!$A$2:$A$504,MATCH($B55,실적!$B$2:$B$504,0))="","",INDEX(실적!$A$2:$A$504,MATCH($B55,실적!$B$2:$B$504,0)))</f>
        <v>Hewlett Packard Enterprise</v>
      </c>
      <c r="D55" s="0" t="str">
        <f aca="false">IF(INDEX(실적!$V$2:$V$504,MATCH($B55,실적!$B$2:$B$504,0))="","",INDEX(실적!$V$2:$V$504,MATCH($B55,실적!$B$2:$B$504,0)))</f>
        <v>Information Technology</v>
      </c>
      <c r="E55" s="16" t="n">
        <f aca="false">IF(INDEX(실적!$Y$2:$Y$504,MATCH($B55,실적!$B$2:$B$504,0))="","",INDEX(실적!$Y$2:$Y$504,MATCH($B55,실적!$B$2:$B$504,0)))</f>
        <v>1.54824202780049</v>
      </c>
      <c r="F55" s="16" t="n">
        <f aca="false">IF(INDEX(실적!$N$2:$N$504,MATCH($B55,실적!$B$2:$B$504,0))="","",INDEX(실적!$N$2:$N$504,MATCH($B55,실적!$B$2:$B$504,0)))</f>
        <v>0.336799474605954</v>
      </c>
      <c r="G55" s="16" t="n">
        <f aca="false">IF(INDEX(실적!$P$2:$P$504,MATCH($B55,실적!$B$2:$B$504,0))="","",INDEX(실적!$P$2:$P$504,MATCH($B55,실적!$B$2:$B$504,0)))</f>
        <v>0.143753511893613</v>
      </c>
      <c r="H55" s="0" t="str">
        <f aca="false">IF(INDEX(실적!$T$2:$T$504,MATCH($B55,실적!$B$2:$B$504,0))="","",INDEX(실적!$T$2:$T$504,MATCH($B55,실적!$B$2:$B$504,0)))</f>
        <v>최근 QoQ≥10%</v>
      </c>
      <c r="I55" s="16" t="n">
        <f aca="false">IF(INDEX(실적!$AA$2:$AA$504,MATCH($B55,실적!$B$2:$B$504,0))="","",INDEX(실적!$AA$2:$AA$504,MATCH($B55,실적!$B$2:$B$504,0)))</f>
        <v>0.184954604409857</v>
      </c>
      <c r="J55" s="0" t="str">
        <f aca="false">IF(INDEX(실적!$AB$2:$AB$504,MATCH($B55,실적!$B$2:$B$504,0))="","",INDEX(실적!$AB$2:$AB$504,MATCH($B55,실적!$B$2:$B$504,0)))</f>
        <v>최근 QoQ≥10%</v>
      </c>
      <c r="K55" s="0" t="str">
        <f aca="false">IF(INDEX(실적!$U$2:$U$504,MATCH($B55,실적!$B$2:$B$504,0))="","",INDEX(실적!$U$2:$U$504,MATCH($B55,실적!$B$2:$B$504,0)))</f>
        <v>서버·스토리지·네트워크(주니퍼) 기업 IT 인프라</v>
      </c>
    </row>
    <row r="56" customFormat="false" ht="15" hidden="false" customHeight="false" outlineLevel="0" collapsed="false">
      <c r="A56" s="0" t="n">
        <v>17</v>
      </c>
      <c r="B56" s="0" t="s">
        <v>320</v>
      </c>
      <c r="C56" s="0" t="str">
        <f aca="false">IF(INDEX(실적!$A$2:$A$504,MATCH($B56,실적!$B$2:$B$504,0))="","",INDEX(실적!$A$2:$A$504,MATCH($B56,실적!$B$2:$B$504,0)))</f>
        <v>Lam Research</v>
      </c>
      <c r="D56" s="0" t="str">
        <f aca="false">IF(INDEX(실적!$V$2:$V$504,MATCH($B56,실적!$B$2:$B$504,0))="","",INDEX(실적!$V$2:$V$504,MATCH($B56,실적!$B$2:$B$504,0)))</f>
        <v>Information Technology</v>
      </c>
      <c r="E56" s="16" t="n">
        <f aca="false">IF(INDEX(실적!$Y$2:$Y$504,MATCH($B56,실적!$B$2:$B$504,0))="","",INDEX(실적!$Y$2:$Y$504,MATCH($B56,실적!$B$2:$B$504,0)))</f>
        <v>1.39463840399003</v>
      </c>
      <c r="F56" s="16" t="n">
        <f aca="false">IF(INDEX(실적!$N$2:$N$504,MATCH($B56,실적!$B$2:$B$504,0))="","",INDEX(실적!$N$2:$N$504,MATCH($B56,실적!$B$2:$B$504,0)))</f>
        <v>0.299889217470032</v>
      </c>
      <c r="G56" s="16" t="n">
        <f aca="false">IF(INDEX(실적!$P$2:$P$504,MATCH($B56,실적!$B$2:$B$504,0))="","",INDEX(실적!$P$2:$P$504,MATCH($B56,실적!$B$2:$B$504,0)))</f>
        <v>0.150774939535954</v>
      </c>
      <c r="H56" s="0" t="str">
        <f aca="false">IF(INDEX(실적!$T$2:$T$504,MATCH($B56,실적!$B$2:$B$504,0))="","",INDEX(실적!$T$2:$T$504,MATCH($B56,실적!$B$2:$B$504,0)))</f>
        <v>최근 QoQ≥10%</v>
      </c>
      <c r="I56" s="16" t="n">
        <f aca="false">IF(INDEX(실적!$AA$2:$AA$504,MATCH($B56,실적!$B$2:$B$504,0))="","",INDEX(실적!$AA$2:$AA$504,MATCH($B56,실적!$B$2:$B$504,0)))</f>
        <v>0.335757109569994</v>
      </c>
      <c r="J56" s="0" t="str">
        <f aca="false">IF(INDEX(실적!$AB$2:$AB$504,MATCH($B56,실적!$B$2:$B$504,0))="","",INDEX(실적!$AB$2:$AB$504,MATCH($B56,실적!$B$2:$B$504,0)))</f>
        <v/>
      </c>
      <c r="K56" s="0" t="str">
        <f aca="false">IF(INDEX(실적!$U$2:$U$504,MATCH($B56,실적!$B$2:$B$504,0))="","",INDEX(실적!$U$2:$U$504,MATCH($B56,실적!$B$2:$B$504,0)))</f>
        <v>반도체 식각·증착 장비</v>
      </c>
    </row>
    <row r="57" customFormat="false" ht="15" hidden="false" customHeight="false" outlineLevel="0" collapsed="false">
      <c r="A57" s="0" t="n">
        <v>18</v>
      </c>
      <c r="B57" s="0" t="s">
        <v>37</v>
      </c>
      <c r="C57" s="0" t="str">
        <f aca="false">IF(INDEX(실적!$A$2:$A$504,MATCH($B57,실적!$B$2:$B$504,0))="","",INDEX(실적!$A$2:$A$504,MATCH($B57,실적!$B$2:$B$504,0)))</f>
        <v>Applied Materials</v>
      </c>
      <c r="D57" s="0" t="str">
        <f aca="false">IF(INDEX(실적!$V$2:$V$504,MATCH($B57,실적!$B$2:$B$504,0))="","",INDEX(실적!$V$2:$V$504,MATCH($B57,실적!$B$2:$B$504,0)))</f>
        <v>Information Technology</v>
      </c>
      <c r="E57" s="16" t="n">
        <f aca="false">IF(INDEX(실적!$Y$2:$Y$504,MATCH($B57,실적!$B$2:$B$504,0))="","",INDEX(실적!$Y$2:$Y$504,MATCH($B57,실적!$B$2:$B$504,0)))</f>
        <v>1.35494440031771</v>
      </c>
      <c r="F57" s="16" t="n">
        <f aca="false">IF(INDEX(실적!$N$2:$N$504,MATCH($B57,실적!$B$2:$B$504,0))="","",INDEX(실적!$N$2:$N$504,MATCH($B57,실적!$B$2:$B$504,0)))</f>
        <v>0.248288140235552</v>
      </c>
      <c r="G57" s="16" t="n">
        <f aca="false">IF(INDEX(실적!$P$2:$P$504,MATCH($B57,실적!$B$2:$B$504,0))="","",INDEX(실적!$P$2:$P$504,MATCH($B57,실적!$B$2:$B$504,0)))</f>
        <v>0.152338811630847</v>
      </c>
      <c r="H57" s="0" t="str">
        <f aca="false">IF(INDEX(실적!$T$2:$T$504,MATCH($B57,실적!$B$2:$B$504,0))="","",INDEX(실적!$T$2:$T$504,MATCH($B57,실적!$B$2:$B$504,0)))</f>
        <v>QoQ 가속 + 최근 QoQ≥10%</v>
      </c>
      <c r="I57" s="16" t="n">
        <f aca="false">IF(INDEX(실적!$AA$2:$AA$504,MATCH($B57,실적!$B$2:$B$504,0))="","",INDEX(실적!$AA$2:$AA$504,MATCH($B57,실적!$B$2:$B$504,0)))</f>
        <v>0.0773089406904692</v>
      </c>
      <c r="J57" s="0" t="str">
        <f aca="false">IF(INDEX(실적!$AB$2:$AB$504,MATCH($B57,실적!$B$2:$B$504,0))="","",INDEX(실적!$AB$2:$AB$504,MATCH($B57,실적!$B$2:$B$504,0)))</f>
        <v/>
      </c>
      <c r="K57" s="0" t="str">
        <f aca="false">IF(INDEX(실적!$U$2:$U$504,MATCH($B57,실적!$B$2:$B$504,0))="","",INDEX(실적!$U$2:$U$504,MATCH($B57,실적!$B$2:$B$504,0)))</f>
        <v>반도체·디스플레이 제조 장비</v>
      </c>
    </row>
    <row r="58" customFormat="false" ht="15" hidden="false" customHeight="false" outlineLevel="0" collapsed="false">
      <c r="A58" s="0" t="n">
        <v>19</v>
      </c>
      <c r="B58" s="0" t="s">
        <v>526</v>
      </c>
      <c r="C58" s="0" t="str">
        <f aca="false">IF(INDEX(실적!$A$2:$A$504,MATCH($B58,실적!$B$2:$B$504,0))="","",INDEX(실적!$A$2:$A$504,MATCH($B58,실적!$B$2:$B$504,0)))</f>
        <v>CrowdStrike</v>
      </c>
      <c r="D58" s="0" t="str">
        <f aca="false">IF(INDEX(실적!$V$2:$V$504,MATCH($B58,실적!$B$2:$B$504,0))="","",INDEX(실적!$V$2:$V$504,MATCH($B58,실적!$B$2:$B$504,0)))</f>
        <v>Information Technology</v>
      </c>
      <c r="E58" s="16" t="n">
        <f aca="false">IF(INDEX(실적!$Y$2:$Y$504,MATCH($B58,실적!$B$2:$B$504,0))="","",INDEX(실적!$Y$2:$Y$504,MATCH($B58,실적!$B$2:$B$504,0)))</f>
        <v>1.20427014884639</v>
      </c>
      <c r="F58" s="16" t="n">
        <f aca="false">IF(INDEX(실적!$N$2:$N$504,MATCH($B58,실적!$B$2:$B$504,0))="","",INDEX(실적!$N$2:$N$504,MATCH($B58,실적!$B$2:$B$504,0)))</f>
        <v>0.258304019326713</v>
      </c>
      <c r="G58" s="16" t="n">
        <f aca="false">IF(INDEX(실적!$P$2:$P$504,MATCH($B58,실적!$B$2:$B$504,0))="","",INDEX(실적!$P$2:$P$504,MATCH($B58,실적!$B$2:$B$504,0)))</f>
        <v>0.0615373956520828</v>
      </c>
      <c r="H58" s="0" t="str">
        <f aca="false">IF(INDEX(실적!$T$2:$T$504,MATCH($B58,실적!$B$2:$B$504,0))="","",INDEX(실적!$T$2:$T$504,MATCH($B58,실적!$B$2:$B$504,0)))</f>
        <v>QoQ 가속</v>
      </c>
      <c r="I58" s="16" t="n">
        <f aca="false">IF(INDEX(실적!$AA$2:$AA$504,MATCH($B58,실적!$B$2:$B$504,0))="","",INDEX(실적!$AA$2:$AA$504,MATCH($B58,실적!$B$2:$B$504,0)))</f>
        <v>0.212766840410345</v>
      </c>
      <c r="J58" s="0" t="str">
        <f aca="false">IF(INDEX(실적!$AB$2:$AB$504,MATCH($B58,실적!$B$2:$B$504,0))="","",INDEX(실적!$AB$2:$AB$504,MATCH($B58,실적!$B$2:$B$504,0)))</f>
        <v/>
      </c>
      <c r="K58" s="0" t="str">
        <f aca="false">IF(INDEX(실적!$U$2:$U$504,MATCH($B58,실적!$B$2:$B$504,0))="","",INDEX(실적!$U$2:$U$504,MATCH($B58,실적!$B$2:$B$504,0)))</f>
        <v>클라우드 기반 엔드포인트 사이버보안 플랫폼</v>
      </c>
    </row>
    <row r="59" customFormat="false" ht="15" hidden="false" customHeight="false" outlineLevel="0" collapsed="false">
      <c r="A59" s="0" t="n">
        <v>20</v>
      </c>
      <c r="B59" s="0" t="s">
        <v>122</v>
      </c>
      <c r="C59" s="0" t="str">
        <f aca="false">IF(INDEX(실적!$A$2:$A$504,MATCH($B59,실적!$B$2:$B$504,0))="","",INDEX(실적!$A$2:$A$504,MATCH($B59,실적!$B$2:$B$504,0)))</f>
        <v>Valero Energy</v>
      </c>
      <c r="D59" s="0" t="str">
        <f aca="false">IF(INDEX(실적!$V$2:$V$504,MATCH($B59,실적!$B$2:$B$504,0))="","",INDEX(실적!$V$2:$V$504,MATCH($B59,실적!$B$2:$B$504,0)))</f>
        <v>Energy</v>
      </c>
      <c r="E59" s="16" t="n">
        <f aca="false">IF(INDEX(실적!$Y$2:$Y$504,MATCH($B59,실적!$B$2:$B$504,0))="","",INDEX(실적!$Y$2:$Y$504,MATCH($B59,실적!$B$2:$B$504,0)))</f>
        <v>1.20008195281859</v>
      </c>
      <c r="F59" s="16" t="n">
        <f aca="false">IF(INDEX(실적!$N$2:$N$504,MATCH($B59,실적!$B$2:$B$504,0))="","",INDEX(실적!$N$2:$N$504,MATCH($B59,실적!$B$2:$B$504,0)))</f>
        <v>0.488039077921644</v>
      </c>
      <c r="G59" s="16" t="n">
        <f aca="false">IF(INDEX(실적!$P$2:$P$504,MATCH($B59,실적!$B$2:$B$504,0))="","",INDEX(실적!$P$2:$P$504,MATCH($B59,실적!$B$2:$B$504,0)))</f>
        <v>0.373521509527192</v>
      </c>
      <c r="H59" s="0" t="str">
        <f aca="false">IF(INDEX(실적!$T$2:$T$504,MATCH($B59,실적!$B$2:$B$504,0))="","",INDEX(실적!$T$2:$T$504,MATCH($B59,실적!$B$2:$B$504,0)))</f>
        <v>최근 QoQ≥10%</v>
      </c>
      <c r="I59" s="16" t="n">
        <f aca="false">IF(INDEX(실적!$AA$2:$AA$504,MATCH($B59,실적!$B$2:$B$504,0))="","",INDEX(실적!$AA$2:$AA$504,MATCH($B59,실적!$B$2:$B$504,0)))</f>
        <v>-0.133400985792983</v>
      </c>
      <c r="J59" s="0" t="str">
        <f aca="false">IF(INDEX(실적!$AB$2:$AB$504,MATCH($B59,실적!$B$2:$B$504,0))="","",INDEX(실적!$AB$2:$AB$504,MATCH($B59,실적!$B$2:$B$504,0)))</f>
        <v/>
      </c>
      <c r="K59" s="0" t="str">
        <f aca="false">IF(INDEX(실적!$U$2:$U$504,MATCH($B59,실적!$B$2:$B$504,0))="","",INDEX(실적!$U$2:$U$504,MATCH($B59,실적!$B$2:$B$504,0)))</f>
        <v>석유 정제 및 재생연료(에탄올·재생디젤) 생산</v>
      </c>
    </row>
    <row r="60" customFormat="false" ht="15" hidden="false" customHeight="false" outlineLevel="0" collapsed="false">
      <c r="A60" s="0" t="n">
        <v>21</v>
      </c>
      <c r="B60" s="0" t="s">
        <v>457</v>
      </c>
      <c r="C60" s="0" t="str">
        <f aca="false">IF(INDEX(실적!$A$2:$A$504,MATCH($B60,실적!$B$2:$B$504,0))="","",INDEX(실적!$A$2:$A$504,MATCH($B60,실적!$B$2:$B$504,0)))</f>
        <v>Fortinet</v>
      </c>
      <c r="D60" s="0" t="str">
        <f aca="false">IF(INDEX(실적!$V$2:$V$504,MATCH($B60,실적!$B$2:$B$504,0))="","",INDEX(실적!$V$2:$V$504,MATCH($B60,실적!$B$2:$B$504,0)))</f>
        <v>Information Technology</v>
      </c>
      <c r="E60" s="16" t="n">
        <f aca="false">IF(INDEX(실적!$Y$2:$Y$504,MATCH($B60,실적!$B$2:$B$504,0))="","",INDEX(실적!$Y$2:$Y$504,MATCH($B60,실적!$B$2:$B$504,0)))</f>
        <v>1.13803827751196</v>
      </c>
      <c r="F60" s="16" t="n">
        <f aca="false">IF(INDEX(실적!$N$2:$N$504,MATCH($B60,실적!$B$2:$B$504,0))="","",INDEX(실적!$N$2:$N$504,MATCH($B60,실적!$B$2:$B$504,0)))</f>
        <v>0.25638036809816</v>
      </c>
      <c r="G60" s="16" t="n">
        <f aca="false">IF(INDEX(실적!$P$2:$P$504,MATCH($B60,실적!$B$2:$B$504,0))="","",INDEX(실적!$P$2:$P$504,MATCH($B60,실적!$B$2:$B$504,0)))</f>
        <v>0.107212370242215</v>
      </c>
      <c r="H60" s="0" t="str">
        <f aca="false">IF(INDEX(실적!$T$2:$T$504,MATCH($B60,실적!$B$2:$B$504,0))="","",INDEX(실적!$T$2:$T$504,MATCH($B60,실적!$B$2:$B$504,0)))</f>
        <v>최근 QoQ≥10%</v>
      </c>
      <c r="I60" s="16" t="n">
        <f aca="false">IF(INDEX(실적!$AA$2:$AA$504,MATCH($B60,실적!$B$2:$B$504,0))="","",INDEX(실적!$AA$2:$AA$504,MATCH($B60,실적!$B$2:$B$504,0)))</f>
        <v>0.136442864114899</v>
      </c>
      <c r="J60" s="0" t="str">
        <f aca="false">IF(INDEX(실적!$AB$2:$AB$504,MATCH($B60,실적!$B$2:$B$504,0))="","",INDEX(실적!$AB$2:$AB$504,MATCH($B60,실적!$B$2:$B$504,0)))</f>
        <v/>
      </c>
      <c r="K60" s="0" t="str">
        <f aca="false">IF(INDEX(실적!$U$2:$U$504,MATCH($B60,실적!$B$2:$B$504,0))="","",INDEX(실적!$U$2:$U$504,MATCH($B60,실적!$B$2:$B$504,0)))</f>
        <v>방화벽·네트워크 보안 장비 및 소프트웨어</v>
      </c>
    </row>
    <row r="61" customFormat="false" ht="15" hidden="false" customHeight="false" outlineLevel="0" collapsed="false">
      <c r="A61" s="0" t="n">
        <v>22</v>
      </c>
      <c r="B61" s="0" t="s">
        <v>338</v>
      </c>
      <c r="C61" s="0" t="str">
        <f aca="false">IF(INDEX(실적!$A$2:$A$504,MATCH($B61,실적!$B$2:$B$504,0))="","",INDEX(실적!$A$2:$A$504,MATCH($B61,실적!$B$2:$B$504,0)))</f>
        <v>Comfort Systems USA</v>
      </c>
      <c r="D61" s="0" t="str">
        <f aca="false">IF(INDEX(실적!$V$2:$V$504,MATCH($B61,실적!$B$2:$B$504,0))="","",INDEX(실적!$V$2:$V$504,MATCH($B61,실적!$B$2:$B$504,0)))</f>
        <v>Industrials</v>
      </c>
      <c r="E61" s="16" t="n">
        <f aca="false">IF(INDEX(실적!$Y$2:$Y$504,MATCH($B61,실적!$B$2:$B$504,0))="","",INDEX(실적!$Y$2:$Y$504,MATCH($B61,실적!$B$2:$B$504,0)))</f>
        <v>1.05430470270134</v>
      </c>
      <c r="F61" s="16" t="n">
        <f aca="false">IF(INDEX(실적!$N$2:$N$504,MATCH($B61,실적!$B$2:$B$504,0))="","",INDEX(실적!$N$2:$N$504,MATCH($B61,실적!$B$2:$B$504,0)))</f>
        <v>0.502612363854547</v>
      </c>
      <c r="G61" s="16" t="n">
        <f aca="false">IF(INDEX(실적!$P$2:$P$504,MATCH($B61,실적!$B$2:$B$504,0))="","",INDEX(실적!$P$2:$P$504,MATCH($B61,실적!$B$2:$B$504,0)))</f>
        <v>0.139712954729155</v>
      </c>
      <c r="H61" s="0" t="str">
        <f aca="false">IF(INDEX(실적!$T$2:$T$504,MATCH($B61,실적!$B$2:$B$504,0))="","",INDEX(실적!$T$2:$T$504,MATCH($B61,실적!$B$2:$B$504,0)))</f>
        <v>최근 QoQ≥10%</v>
      </c>
      <c r="I61" s="16" t="n">
        <f aca="false">IF(INDEX(실적!$AA$2:$AA$504,MATCH($B61,실적!$B$2:$B$504,0))="","",INDEX(실적!$AA$2:$AA$504,MATCH($B61,실적!$B$2:$B$504,0)))</f>
        <v>0.200536378149357</v>
      </c>
      <c r="J61" s="0" t="str">
        <f aca="false">IF(INDEX(실적!$AB$2:$AB$504,MATCH($B61,실적!$B$2:$B$504,0))="","",INDEX(실적!$AB$2:$AB$504,MATCH($B61,실적!$B$2:$B$504,0)))</f>
        <v>최근 QoQ≥10%</v>
      </c>
      <c r="K61" s="0" t="str">
        <f aca="false">IF(INDEX(실적!$U$2:$U$504,MATCH($B61,실적!$B$2:$B$504,0))="","",INDEX(실적!$U$2:$U$504,MATCH($B61,실적!$B$2:$B$504,0)))</f>
        <v>기계·전기 설비(HVAC) 시공 및 유지보수</v>
      </c>
    </row>
    <row r="62" customFormat="false" ht="15" hidden="false" customHeight="false" outlineLevel="0" collapsed="false">
      <c r="A62" s="0" t="n">
        <v>23</v>
      </c>
      <c r="B62" s="0" t="s">
        <v>561</v>
      </c>
      <c r="C62" s="0" t="str">
        <f aca="false">IF(INDEX(실적!$A$2:$A$504,MATCH($B62,실적!$B$2:$B$504,0))="","",INDEX(실적!$A$2:$A$504,MATCH($B62,실적!$B$2:$B$504,0)))</f>
        <v>Keysight Technologies</v>
      </c>
      <c r="D62" s="0" t="str">
        <f aca="false">IF(INDEX(실적!$V$2:$V$504,MATCH($B62,실적!$B$2:$B$504,0))="","",INDEX(실적!$V$2:$V$504,MATCH($B62,실적!$B$2:$B$504,0)))</f>
        <v>Information Technology</v>
      </c>
      <c r="E62" s="16" t="n">
        <f aca="false">IF(INDEX(실적!$Y$2:$Y$504,MATCH($B62,실적!$B$2:$B$504,0))="","",INDEX(실적!$Y$2:$Y$504,MATCH($B62,실적!$B$2:$B$504,0)))</f>
        <v>1.02603061751046</v>
      </c>
      <c r="F62" s="16" t="n">
        <f aca="false">IF(INDEX(실적!$N$2:$N$504,MATCH($B62,실적!$B$2:$B$504,0))="","",INDEX(실적!$N$2:$N$504,MATCH($B62,실적!$B$2:$B$504,0)))</f>
        <v>0.365384615384615</v>
      </c>
      <c r="G62" s="16" t="n">
        <f aca="false">IF(INDEX(실적!$P$2:$P$504,MATCH($B62,실적!$B$2:$B$504,0))="","",INDEX(실적!$P$2:$P$504,MATCH($B62,실적!$B$2:$B$504,0)))</f>
        <v>0.0751310425160163</v>
      </c>
      <c r="H62" s="0" t="str">
        <f aca="false">IF(INDEX(실적!$T$2:$T$504,MATCH($B62,실적!$B$2:$B$504,0))="","",INDEX(실적!$T$2:$T$504,MATCH($B62,실적!$B$2:$B$504,0)))</f>
        <v/>
      </c>
      <c r="I62" s="16" t="n">
        <f aca="false">IF(INDEX(실적!$AA$2:$AA$504,MATCH($B62,실적!$B$2:$B$504,0))="","",INDEX(실적!$AA$2:$AA$504,MATCH($B62,실적!$B$2:$B$504,0)))</f>
        <v>0.110928512736237</v>
      </c>
      <c r="J62" s="0" t="str">
        <f aca="false">IF(INDEX(실적!$AB$2:$AB$504,MATCH($B62,실적!$B$2:$B$504,0))="","",INDEX(실적!$AB$2:$AB$504,MATCH($B62,실적!$B$2:$B$504,0)))</f>
        <v/>
      </c>
      <c r="K62" s="19" t="s">
        <v>1267</v>
      </c>
    </row>
    <row r="63" customFormat="false" ht="15" hidden="false" customHeight="false" outlineLevel="0" collapsed="false">
      <c r="A63" s="0" t="n">
        <v>24</v>
      </c>
      <c r="B63" s="0" t="s">
        <v>95</v>
      </c>
      <c r="C63" s="0" t="str">
        <f aca="false">IF(INDEX(실적!$A$2:$A$504,MATCH($B63,실적!$B$2:$B$504,0))="","",INDEX(실적!$A$2:$A$504,MATCH($B63,실적!$B$2:$B$504,0)))</f>
        <v>Marathon Petroleum</v>
      </c>
      <c r="D63" s="0" t="str">
        <f aca="false">IF(INDEX(실적!$V$2:$V$504,MATCH($B63,실적!$B$2:$B$504,0))="","",INDEX(실적!$V$2:$V$504,MATCH($B63,실적!$B$2:$B$504,0)))</f>
        <v>Energy</v>
      </c>
      <c r="E63" s="16" t="n">
        <f aca="false">IF(INDEX(실적!$Y$2:$Y$504,MATCH($B63,실적!$B$2:$B$504,0))="","",INDEX(실적!$Y$2:$Y$504,MATCH($B63,실적!$B$2:$B$504,0)))</f>
        <v>1.01128948731227</v>
      </c>
      <c r="F63" s="16" t="n">
        <f aca="false">IF(INDEX(실적!$N$2:$N$504,MATCH($B63,실적!$B$2:$B$504,0))="","",INDEX(실적!$N$2:$N$504,MATCH($B63,실적!$B$2:$B$504,0)))</f>
        <v>0.538329536376816</v>
      </c>
      <c r="G63" s="16" t="n">
        <f aca="false">IF(INDEX(실적!$P$2:$P$504,MATCH($B63,실적!$B$2:$B$504,0))="","",INDEX(실적!$P$2:$P$504,MATCH($B63,실적!$B$2:$B$504,0)))</f>
        <v>0.520292397660819</v>
      </c>
      <c r="H63" s="0" t="str">
        <f aca="false">IF(INDEX(실적!$T$2:$T$504,MATCH($B63,실적!$B$2:$B$504,0))="","",INDEX(실적!$T$2:$T$504,MATCH($B63,실적!$B$2:$B$504,0)))</f>
        <v>최근 QoQ≥10%</v>
      </c>
      <c r="I63" s="16" t="n">
        <f aca="false">IF(INDEX(실적!$AA$2:$AA$504,MATCH($B63,실적!$B$2:$B$504,0))="","",INDEX(실적!$AA$2:$AA$504,MATCH($B63,실적!$B$2:$B$504,0)))</f>
        <v>-0.10853510576568</v>
      </c>
      <c r="J63" s="0" t="str">
        <f aca="false">IF(INDEX(실적!$AB$2:$AB$504,MATCH($B63,실적!$B$2:$B$504,0))="","",INDEX(실적!$AB$2:$AB$504,MATCH($B63,실적!$B$2:$B$504,0)))</f>
        <v>QoQ 가속</v>
      </c>
      <c r="K63" s="0" t="str">
        <f aca="false">IF(INDEX(실적!$U$2:$U$504,MATCH($B63,실적!$B$2:$B$504,0))="","",INDEX(실적!$U$2:$U$504,MATCH($B63,실적!$B$2:$B$504,0)))</f>
        <v>석유 정제·마케팅 및 미드스트림(MPLX)</v>
      </c>
    </row>
    <row r="64" customFormat="false" ht="15" hidden="false" customHeight="false" outlineLevel="0" collapsed="false">
      <c r="A64" s="0" t="n">
        <v>25</v>
      </c>
      <c r="B64" s="0" t="s">
        <v>350</v>
      </c>
      <c r="C64" s="0" t="str">
        <f aca="false">IF(INDEX(실적!$A$2:$A$504,MATCH($B64,실적!$B$2:$B$504,0))="","",INDEX(실적!$A$2:$A$504,MATCH($B64,실적!$B$2:$B$504,0)))</f>
        <v>Palo Alto Networks</v>
      </c>
      <c r="D64" s="0" t="str">
        <f aca="false">IF(INDEX(실적!$V$2:$V$504,MATCH($B64,실적!$B$2:$B$504,0))="","",INDEX(실적!$V$2:$V$504,MATCH($B64,실적!$B$2:$B$504,0)))</f>
        <v>Information Technology</v>
      </c>
      <c r="E64" s="16" t="n">
        <f aca="false">IF(INDEX(실적!$Y$2:$Y$504,MATCH($B64,실적!$B$2:$B$504,0))="","",INDEX(실적!$Y$2:$Y$504,MATCH($B64,실적!$B$2:$B$504,0)))</f>
        <v>0.959641255605381</v>
      </c>
      <c r="F64" s="16" t="n">
        <f aca="false">IF(INDEX(실적!$N$2:$N$504,MATCH($B64,실적!$B$2:$B$504,0))="","",INDEX(실적!$N$2:$N$504,MATCH($B64,실적!$B$2:$B$504,0)))</f>
        <v>0.344478176871821</v>
      </c>
      <c r="G64" s="16" t="n">
        <f aca="false">IF(INDEX(실적!$P$2:$P$504,MATCH($B64,실적!$B$2:$B$504,0))="","",INDEX(실적!$P$2:$P$504,MATCH($B64,실적!$B$2:$B$504,0)))</f>
        <v>0.135909393737508</v>
      </c>
      <c r="H64" s="0" t="str">
        <f aca="false">IF(INDEX(실적!$T$2:$T$504,MATCH($B64,실적!$B$2:$B$504,0))="","",INDEX(실적!$T$2:$T$504,MATCH($B64,실적!$B$2:$B$504,0)))</f>
        <v>최근 QoQ≥10%</v>
      </c>
      <c r="I64" s="16" t="n">
        <f aca="false">IF(INDEX(실적!$AA$2:$AA$504,MATCH($B64,실적!$B$2:$B$504,0))="","",INDEX(실적!$AA$2:$AA$504,MATCH($B64,실적!$B$2:$B$504,0)))</f>
        <v>0.1583923270153</v>
      </c>
      <c r="J64" s="0" t="str">
        <f aca="false">IF(INDEX(실적!$AB$2:$AB$504,MATCH($B64,실적!$B$2:$B$504,0))="","",INDEX(실적!$AB$2:$AB$504,MATCH($B64,실적!$B$2:$B$504,0)))</f>
        <v>최근 QoQ≥10%</v>
      </c>
      <c r="K64" s="0" t="str">
        <f aca="false">IF(INDEX(실적!$U$2:$U$504,MATCH($B64,실적!$B$2:$B$504,0))="","",INDEX(실적!$U$2:$U$504,MATCH($B64,실적!$B$2:$B$504,0)))</f>
        <v>네트워크·클라우드 사이버보안 솔루션</v>
      </c>
    </row>
    <row r="65" customFormat="false" ht="15" hidden="false" customHeight="false" outlineLevel="0" collapsed="false">
      <c r="A65" s="0" t="n">
        <v>26</v>
      </c>
      <c r="B65" s="0" t="s">
        <v>530</v>
      </c>
      <c r="C65" s="0" t="str">
        <f aca="false">IF(INDEX(실적!$A$2:$A$504,MATCH($B65,실적!$B$2:$B$504,0))="","",INDEX(실적!$A$2:$A$504,MATCH($B65,실적!$B$2:$B$504,0)))</f>
        <v>Flex Ltd.</v>
      </c>
      <c r="D65" s="0" t="str">
        <f aca="false">IF(INDEX(실적!$V$2:$V$504,MATCH($B65,실적!$B$2:$B$504,0))="","",INDEX(실적!$V$2:$V$504,MATCH($B65,실적!$B$2:$B$504,0)))</f>
        <v>Information Technology</v>
      </c>
      <c r="E65" s="16" t="n">
        <f aca="false">IF(INDEX(실적!$Y$2:$Y$504,MATCH($B65,실적!$B$2:$B$504,0))="","",INDEX(실적!$Y$2:$Y$504,MATCH($B65,실적!$B$2:$B$504,0)))</f>
        <v>0.950329975686002</v>
      </c>
      <c r="F65" s="16" t="n">
        <f aca="false">IF(INDEX(실적!$N$2:$N$504,MATCH($B65,실적!$B$2:$B$504,0))="","",INDEX(실적!$N$2:$N$504,MATCH($B65,실적!$B$2:$B$504,0)))</f>
        <v>0.168646452016255</v>
      </c>
      <c r="G65" s="16" t="n">
        <f aca="false">IF(INDEX(실적!$P$2:$P$504,MATCH($B65,실적!$B$2:$B$504,0))="","",INDEX(실적!$P$2:$P$504,MATCH($B65,실적!$B$2:$B$504,0)))</f>
        <v>0.0593652592802494</v>
      </c>
      <c r="H65" s="0" t="str">
        <f aca="false">IF(INDEX(실적!$T$2:$T$504,MATCH($B65,실적!$B$2:$B$504,0))="","",INDEX(실적!$T$2:$T$504,MATCH($B65,실적!$B$2:$B$504,0)))</f>
        <v>QoQ 가속</v>
      </c>
      <c r="I65" s="16" t="n">
        <f aca="false">IF(INDEX(실적!$AA$2:$AA$504,MATCH($B65,실적!$B$2:$B$504,0))="","",INDEX(실적!$AA$2:$AA$504,MATCH($B65,실적!$B$2:$B$504,0)))</f>
        <v>0.0413367120684194</v>
      </c>
      <c r="J65" s="0" t="str">
        <f aca="false">IF(INDEX(실적!$AB$2:$AB$504,MATCH($B65,실적!$B$2:$B$504,0))="","",INDEX(실적!$AB$2:$AB$504,MATCH($B65,실적!$B$2:$B$504,0)))</f>
        <v/>
      </c>
      <c r="K65" s="0" t="str">
        <f aca="false">IF(INDEX(실적!$U$2:$U$504,MATCH($B65,실적!$B$2:$B$504,0))="","",INDEX(실적!$U$2:$U$504,MATCH($B65,실적!$B$2:$B$504,0)))</f>
        <v>전자제품 위탁생산(EMS) 및 데이터센터 전력 장비</v>
      </c>
    </row>
    <row r="66" customFormat="false" ht="15" hidden="false" customHeight="false" outlineLevel="0" collapsed="false">
      <c r="A66" s="0" t="n">
        <v>27</v>
      </c>
      <c r="B66" s="0" t="s">
        <v>652</v>
      </c>
      <c r="C66" s="0" t="str">
        <f aca="false">IF(INDEX(실적!$A$2:$A$504,MATCH($B66,실적!$B$2:$B$504,0))="","",INDEX(실적!$A$2:$A$504,MATCH($B66,실적!$B$2:$B$504,0)))</f>
        <v>Corning Inc.</v>
      </c>
      <c r="D66" s="0" t="str">
        <f aca="false">IF(INDEX(실적!$V$2:$V$504,MATCH($B66,실적!$B$2:$B$504,0))="","",INDEX(실적!$V$2:$V$504,MATCH($B66,실적!$B$2:$B$504,0)))</f>
        <v>Information Technology</v>
      </c>
      <c r="E66" s="16" t="n">
        <f aca="false">IF(INDEX(실적!$Y$2:$Y$504,MATCH($B66,실적!$B$2:$B$504,0))="","",INDEX(실적!$Y$2:$Y$504,MATCH($B66,실적!$B$2:$B$504,0)))</f>
        <v>0.933174821674384</v>
      </c>
      <c r="F66" s="16" t="n">
        <f aca="false">IF(INDEX(실적!$N$2:$N$504,MATCH($B66,실적!$B$2:$B$504,0))="","",INDEX(실적!$N$2:$N$504,MATCH($B66,실적!$B$2:$B$504,0)))</f>
        <v>0.16649404453651</v>
      </c>
      <c r="G66" s="16" t="n">
        <f aca="false">IF(INDEX(실적!$P$2:$P$504,MATCH($B66,실적!$B$2:$B$504,0))="","",INDEX(실적!$P$2:$P$504,MATCH($B66,실적!$B$2:$B$504,0)))</f>
        <v>0.0871138996138996</v>
      </c>
      <c r="H66" s="0" t="str">
        <f aca="false">IF(INDEX(실적!$T$2:$T$504,MATCH($B66,실적!$B$2:$B$504,0))="","",INDEX(실적!$T$2:$T$504,MATCH($B66,실적!$B$2:$B$504,0)))</f>
        <v/>
      </c>
      <c r="I66" s="16" t="n">
        <f aca="false">IF(INDEX(실적!$AA$2:$AA$504,MATCH($B66,실적!$B$2:$B$504,0))="","",INDEX(실적!$AA$2:$AA$504,MATCH($B66,실적!$B$2:$B$504,0)))</f>
        <v>0.187942171639496</v>
      </c>
      <c r="J66" s="0" t="str">
        <f aca="false">IF(INDEX(실적!$AB$2:$AB$504,MATCH($B66,실적!$B$2:$B$504,0))="","",INDEX(실적!$AB$2:$AB$504,MATCH($B66,실적!$B$2:$B$504,0)))</f>
        <v>최근 QoQ≥10%</v>
      </c>
      <c r="K66" s="19" t="s">
        <v>1268</v>
      </c>
    </row>
    <row r="67" customFormat="false" ht="15" hidden="false" customHeight="false" outlineLevel="0" collapsed="false">
      <c r="A67" s="0" t="n">
        <v>28</v>
      </c>
      <c r="B67" s="0" t="s">
        <v>379</v>
      </c>
      <c r="C67" s="0" t="str">
        <f aca="false">IF(INDEX(실적!$A$2:$A$504,MATCH($B67,실적!$B$2:$B$504,0))="","",INDEX(실적!$A$2:$A$504,MATCH($B67,실적!$B$2:$B$504,0)))</f>
        <v>Freeport-McMoRan</v>
      </c>
      <c r="D67" s="0" t="str">
        <f aca="false">IF(INDEX(실적!$V$2:$V$504,MATCH($B67,실적!$B$2:$B$504,0))="","",INDEX(실적!$V$2:$V$504,MATCH($B67,실적!$B$2:$B$504,0)))</f>
        <v>Materials</v>
      </c>
      <c r="E67" s="16" t="n">
        <f aca="false">IF(INDEX(실적!$Y$2:$Y$504,MATCH($B67,실적!$B$2:$B$504,0))="","",INDEX(실적!$Y$2:$Y$504,MATCH($B67,실적!$B$2:$B$504,0)))</f>
        <v>0.926732147597558</v>
      </c>
      <c r="F67" s="16" t="n">
        <f aca="false">IF(INDEX(실적!$N$2:$N$504,MATCH($B67,실적!$B$2:$B$504,0))="","",INDEX(실적!$N$2:$N$504,MATCH($B67,실적!$B$2:$B$504,0)))</f>
        <v>-0.0729359008177262</v>
      </c>
      <c r="G67" s="16" t="n">
        <f aca="false">IF(INDEX(실적!$P$2:$P$504,MATCH($B67,실적!$B$2:$B$504,0))="","",INDEX(실적!$P$2:$P$504,MATCH($B67,실적!$B$2:$B$504,0)))</f>
        <v>0.127526467757459</v>
      </c>
      <c r="H67" s="0" t="str">
        <f aca="false">IF(INDEX(실적!$T$2:$T$504,MATCH($B67,실적!$B$2:$B$504,0))="","",INDEX(실적!$T$2:$T$504,MATCH($B67,실적!$B$2:$B$504,0)))</f>
        <v>최근 QoQ≥10%</v>
      </c>
      <c r="I67" s="16" t="n">
        <f aca="false">IF(INDEX(실적!$AA$2:$AA$504,MATCH($B67,실적!$B$2:$B$504,0))="","",INDEX(실적!$AA$2:$AA$504,MATCH($B67,실적!$B$2:$B$504,0)))</f>
        <v>0.144625603864734</v>
      </c>
      <c r="J67" s="0" t="str">
        <f aca="false">IF(INDEX(실적!$AB$2:$AB$504,MATCH($B67,실적!$B$2:$B$504,0))="","",INDEX(실적!$AB$2:$AB$504,MATCH($B67,실적!$B$2:$B$504,0)))</f>
        <v>최근 QoQ≥10%</v>
      </c>
      <c r="K67" s="0" t="str">
        <f aca="false">IF(INDEX(실적!$U$2:$U$504,MATCH($B67,실적!$B$2:$B$504,0))="","",INDEX(실적!$U$2:$U$504,MATCH($B67,실적!$B$2:$B$504,0)))</f>
        <v>구리·금·몰리브덴 광산</v>
      </c>
    </row>
    <row r="68" customFormat="false" ht="15" hidden="false" customHeight="false" outlineLevel="0" collapsed="false">
      <c r="A68" s="0" t="n">
        <v>29</v>
      </c>
      <c r="B68" s="0" t="s">
        <v>89</v>
      </c>
      <c r="C68" s="0" t="str">
        <f aca="false">IF(INDEX(실적!$A$2:$A$504,MATCH($B68,실적!$B$2:$B$504,0))="","",INDEX(실적!$A$2:$A$504,MATCH($B68,실적!$B$2:$B$504,0)))</f>
        <v>Phillips 66</v>
      </c>
      <c r="D68" s="0" t="str">
        <f aca="false">IF(INDEX(실적!$V$2:$V$504,MATCH($B68,실적!$B$2:$B$504,0))="","",INDEX(실적!$V$2:$V$504,MATCH($B68,실적!$B$2:$B$504,0)))</f>
        <v>Energy</v>
      </c>
      <c r="E68" s="16" t="n">
        <f aca="false">IF(INDEX(실적!$Y$2:$Y$504,MATCH($B68,실적!$B$2:$B$504,0))="","",INDEX(실적!$Y$2:$Y$504,MATCH($B68,실적!$B$2:$B$504,0)))</f>
        <v>0.877736291090124</v>
      </c>
      <c r="F68" s="16" t="n">
        <f aca="false">IF(INDEX(실적!$N$2:$N$504,MATCH($B68,실적!$B$2:$B$504,0))="","",INDEX(실적!$N$2:$N$504,MATCH($B68,실적!$B$2:$B$504,0)))</f>
        <v>0.53059448429013</v>
      </c>
      <c r="G68" s="16" t="n">
        <f aca="false">IF(INDEX(실적!$P$2:$P$504,MATCH($B68,실적!$B$2:$B$504,0))="","",INDEX(실적!$P$2:$P$504,MATCH($B68,실적!$B$2:$B$504,0)))</f>
        <v>0.567424708051629</v>
      </c>
      <c r="H68" s="0" t="str">
        <f aca="false">IF(INDEX(실적!$T$2:$T$504,MATCH($B68,실적!$B$2:$B$504,0))="","",INDEX(실적!$T$2:$T$504,MATCH($B68,실적!$B$2:$B$504,0)))</f>
        <v>최근 QoQ≥10%</v>
      </c>
      <c r="I68" s="16" t="n">
        <f aca="false">IF(INDEX(실적!$AA$2:$AA$504,MATCH($B68,실적!$B$2:$B$504,0))="","",INDEX(실적!$AA$2:$AA$504,MATCH($B68,실적!$B$2:$B$504,0)))</f>
        <v>-0.126045791916914</v>
      </c>
      <c r="J68" s="0" t="str">
        <f aca="false">IF(INDEX(실적!$AB$2:$AB$504,MATCH($B68,실적!$B$2:$B$504,0))="","",INDEX(실적!$AB$2:$AB$504,MATCH($B68,실적!$B$2:$B$504,0)))</f>
        <v/>
      </c>
      <c r="K68" s="0" t="str">
        <f aca="false">IF(INDEX(실적!$U$2:$U$504,MATCH($B68,실적!$B$2:$B$504,0))="","",INDEX(실적!$U$2:$U$504,MATCH($B68,실적!$B$2:$B$504,0)))</f>
        <v>석유 정제·화학·미드스트림·마케팅</v>
      </c>
    </row>
    <row r="69" customFormat="false" ht="15" hidden="false" customHeight="false" outlineLevel="0" collapsed="false">
      <c r="A69" s="0" t="n">
        <v>30</v>
      </c>
      <c r="B69" s="0" t="s">
        <v>973</v>
      </c>
      <c r="C69" s="0" t="str">
        <f aca="false">IF(INDEX(실적!$A$2:$A$504,MATCH($B69,실적!$B$2:$B$504,0))="","",INDEX(실적!$A$2:$A$504,MATCH($B69,실적!$B$2:$B$504,0)))</f>
        <v>Merck &amp; Co.</v>
      </c>
      <c r="D69" s="0" t="str">
        <f aca="false">IF(INDEX(실적!$V$2:$V$504,MATCH($B69,실적!$B$2:$B$504,0))="","",INDEX(실적!$V$2:$V$504,MATCH($B69,실적!$B$2:$B$504,0)))</f>
        <v>Health Care</v>
      </c>
      <c r="E69" s="16" t="n">
        <f aca="false">IF(INDEX(실적!$Y$2:$Y$504,MATCH($B69,실적!$B$2:$B$504,0))="","",INDEX(실적!$Y$2:$Y$504,MATCH($B69,실적!$B$2:$B$504,0)))</f>
        <v>0.858667001380695</v>
      </c>
      <c r="F69" s="16" t="n">
        <f aca="false">IF(INDEX(실적!$N$2:$N$504,MATCH($B69,실적!$B$2:$B$504,0))="","",INDEX(실적!$N$2:$N$504,MATCH($B69,실적!$B$2:$B$504,0)))</f>
        <v>0.0506769581171707</v>
      </c>
      <c r="G69" s="16" t="n">
        <f aca="false">IF(INDEX(실적!$P$2:$P$504,MATCH($B69,실적!$B$2:$B$504,0))="","",INDEX(실적!$P$2:$P$504,MATCH($B69,실적!$B$2:$B$504,0)))</f>
        <v>0.0197101805231488</v>
      </c>
      <c r="H69" s="0" t="str">
        <f aca="false">IF(INDEX(실적!$T$2:$T$504,MATCH($B69,실적!$B$2:$B$504,0))="","",INDEX(실적!$T$2:$T$504,MATCH($B69,실적!$B$2:$B$504,0)))</f>
        <v/>
      </c>
      <c r="I69" s="16" t="n">
        <f aca="false">IF(INDEX(실적!$AA$2:$AA$504,MATCH($B69,실적!$B$2:$B$504,0))="","",INDEX(실적!$AA$2:$AA$504,MATCH($B69,실적!$B$2:$B$504,0)))</f>
        <v>-0.0189920556107249</v>
      </c>
      <c r="J69" s="0" t="str">
        <f aca="false">IF(INDEX(실적!$AB$2:$AB$504,MATCH($B69,실적!$B$2:$B$504,0))="","",INDEX(실적!$AB$2:$AB$504,MATCH($B69,실적!$B$2:$B$504,0)))</f>
        <v/>
      </c>
      <c r="K69" s="19" t="s">
        <v>1269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80"/>
    <col collapsed="false" customWidth="true" hidden="false" outlineLevel="0" max="7" min="4" style="0" width="12"/>
    <col collapsed="false" customWidth="true" hidden="false" outlineLevel="0" max="8" min="8" style="0" width="47"/>
  </cols>
  <sheetData>
    <row r="1" customFormat="false" ht="15" hidden="false" customHeight="false" outlineLevel="0" collapsed="false">
      <c r="A1" s="28" t="s">
        <v>1270</v>
      </c>
      <c r="B1" s="17" t="s">
        <v>1271</v>
      </c>
    </row>
    <row r="2" customFormat="false" ht="15" hidden="false" customHeight="false" outlineLevel="0" collapsed="false">
      <c r="A2" s="28" t="s">
        <v>1272</v>
      </c>
      <c r="B2" s="17" t="s">
        <v>1273</v>
      </c>
    </row>
    <row r="3" customFormat="false" ht="15" hidden="false" customHeight="false" outlineLevel="0" collapsed="false">
      <c r="A3" s="28" t="s">
        <v>1274</v>
      </c>
      <c r="B3" s="17" t="s">
        <v>1275</v>
      </c>
    </row>
    <row r="4" customFormat="false" ht="15" hidden="false" customHeight="false" outlineLevel="0" collapsed="false">
      <c r="A4" s="28" t="s">
        <v>1276</v>
      </c>
      <c r="B4" s="17" t="s">
        <v>1277</v>
      </c>
    </row>
    <row r="5" customFormat="false" ht="15" hidden="false" customHeight="false" outlineLevel="0" collapsed="false">
      <c r="A5" s="28" t="s">
        <v>1278</v>
      </c>
      <c r="B5" s="19" t="s">
        <v>1279</v>
      </c>
    </row>
    <row r="6" customFormat="false" ht="15" hidden="false" customHeight="false" outlineLevel="0" collapsed="false">
      <c r="A6" s="28" t="s">
        <v>1280</v>
      </c>
      <c r="B6" s="17" t="s">
        <v>1281</v>
      </c>
    </row>
    <row r="7" customFormat="false" ht="15" hidden="false" customHeight="false" outlineLevel="0" collapsed="false">
      <c r="A7" s="28" t="s">
        <v>1282</v>
      </c>
      <c r="B7" s="19" t="s">
        <v>1283</v>
      </c>
    </row>
    <row r="9" customFormat="false" ht="15" hidden="false" customHeight="false" outlineLevel="0" collapsed="false">
      <c r="A9" s="28" t="s">
        <v>1284</v>
      </c>
    </row>
    <row r="10" customFormat="false" ht="15" hidden="false" customHeight="false" outlineLevel="0" collapsed="false">
      <c r="A10" s="28" t="s">
        <v>1</v>
      </c>
      <c r="B10" s="28" t="s">
        <v>0</v>
      </c>
      <c r="C10" s="28" t="s">
        <v>1285</v>
      </c>
    </row>
    <row r="11" customFormat="false" ht="15" hidden="false" customHeight="false" outlineLevel="0" collapsed="false">
      <c r="A11" s="0" t="s">
        <v>1286</v>
      </c>
    </row>
    <row r="13" customFormat="false" ht="15" hidden="false" customHeight="false" outlineLevel="0" collapsed="false">
      <c r="A13" s="28" t="s">
        <v>1287</v>
      </c>
    </row>
    <row r="14" customFormat="false" ht="15" hidden="false" customHeight="false" outlineLevel="0" collapsed="false">
      <c r="A14" s="28" t="s">
        <v>1</v>
      </c>
      <c r="B14" s="28" t="s">
        <v>0</v>
      </c>
      <c r="C14" s="28" t="s">
        <v>1288</v>
      </c>
    </row>
    <row r="15" customFormat="false" ht="15" hidden="false" customHeight="false" outlineLevel="0" collapsed="false">
      <c r="A15" s="0" t="s">
        <v>116</v>
      </c>
      <c r="B15" s="0" t="s">
        <v>115</v>
      </c>
      <c r="C15" s="19" t="s">
        <v>1289</v>
      </c>
    </row>
    <row r="16" customFormat="false" ht="15" hidden="false" customHeight="false" outlineLevel="0" collapsed="false">
      <c r="A16" s="0" t="s">
        <v>131</v>
      </c>
      <c r="B16" s="0" t="s">
        <v>130</v>
      </c>
      <c r="C16" s="0" t="s">
        <v>1290</v>
      </c>
    </row>
    <row r="17" customFormat="false" ht="15" hidden="false" customHeight="false" outlineLevel="0" collapsed="false">
      <c r="A17" s="0" t="s">
        <v>156</v>
      </c>
      <c r="B17" s="0" t="s">
        <v>155</v>
      </c>
      <c r="C17" s="19" t="s">
        <v>1291</v>
      </c>
    </row>
    <row r="18" customFormat="false" ht="15" hidden="false" customHeight="false" outlineLevel="0" collapsed="false">
      <c r="A18" s="0" t="s">
        <v>186</v>
      </c>
      <c r="B18" s="0" t="s">
        <v>185</v>
      </c>
      <c r="C18" s="0" t="s">
        <v>1290</v>
      </c>
    </row>
    <row r="19" customFormat="false" ht="15" hidden="false" customHeight="false" outlineLevel="0" collapsed="false">
      <c r="A19" s="0" t="s">
        <v>219</v>
      </c>
      <c r="B19" s="0" t="s">
        <v>218</v>
      </c>
      <c r="C19" s="0" t="s">
        <v>1290</v>
      </c>
    </row>
    <row r="20" customFormat="false" ht="15" hidden="false" customHeight="false" outlineLevel="0" collapsed="false">
      <c r="A20" s="0" t="s">
        <v>243</v>
      </c>
      <c r="B20" s="0" t="s">
        <v>242</v>
      </c>
      <c r="C20" s="0" t="s">
        <v>1292</v>
      </c>
    </row>
    <row r="21" customFormat="false" ht="15" hidden="false" customHeight="false" outlineLevel="0" collapsed="false">
      <c r="A21" s="0" t="s">
        <v>270</v>
      </c>
      <c r="B21" s="0" t="s">
        <v>269</v>
      </c>
      <c r="C21" s="0" t="s">
        <v>1290</v>
      </c>
    </row>
    <row r="22" customFormat="false" ht="15" hidden="false" customHeight="false" outlineLevel="0" collapsed="false">
      <c r="A22" s="0" t="s">
        <v>273</v>
      </c>
      <c r="B22" s="0" t="s">
        <v>272</v>
      </c>
      <c r="C22" s="19" t="s">
        <v>1289</v>
      </c>
    </row>
    <row r="23" customFormat="false" ht="15" hidden="false" customHeight="false" outlineLevel="0" collapsed="false">
      <c r="A23" s="0" t="s">
        <v>282</v>
      </c>
      <c r="B23" s="0" t="s">
        <v>281</v>
      </c>
      <c r="C23" s="0" t="s">
        <v>1293</v>
      </c>
    </row>
    <row r="24" customFormat="false" ht="15" hidden="false" customHeight="false" outlineLevel="0" collapsed="false">
      <c r="A24" s="0" t="s">
        <v>305</v>
      </c>
      <c r="B24" s="0" t="s">
        <v>304</v>
      </c>
      <c r="C24" s="0" t="s">
        <v>1290</v>
      </c>
    </row>
    <row r="25" customFormat="false" ht="15" hidden="false" customHeight="false" outlineLevel="0" collapsed="false">
      <c r="A25" s="0" t="s">
        <v>323</v>
      </c>
      <c r="B25" s="0" t="s">
        <v>322</v>
      </c>
      <c r="C25" s="19" t="s">
        <v>1289</v>
      </c>
    </row>
    <row r="26" customFormat="false" ht="15" hidden="false" customHeight="false" outlineLevel="0" collapsed="false">
      <c r="A26" s="0" t="s">
        <v>463</v>
      </c>
      <c r="B26" s="0" t="s">
        <v>462</v>
      </c>
      <c r="C26" s="19" t="s">
        <v>1289</v>
      </c>
    </row>
    <row r="27" customFormat="false" ht="15" hidden="false" customHeight="false" outlineLevel="0" collapsed="false">
      <c r="A27" s="0" t="s">
        <v>493</v>
      </c>
      <c r="B27" s="0" t="s">
        <v>492</v>
      </c>
      <c r="C27" s="0" t="s">
        <v>1294</v>
      </c>
    </row>
    <row r="28" customFormat="false" ht="15" hidden="false" customHeight="false" outlineLevel="0" collapsed="false">
      <c r="A28" s="0" t="s">
        <v>497</v>
      </c>
      <c r="B28" s="0" t="s">
        <v>496</v>
      </c>
      <c r="C28" s="19" t="s">
        <v>1289</v>
      </c>
    </row>
    <row r="29" customFormat="false" ht="15" hidden="false" customHeight="false" outlineLevel="0" collapsed="false">
      <c r="A29" s="0" t="s">
        <v>520</v>
      </c>
      <c r="B29" s="0" t="s">
        <v>519</v>
      </c>
      <c r="C29" s="19" t="s">
        <v>1289</v>
      </c>
    </row>
    <row r="30" customFormat="false" ht="15" hidden="false" customHeight="false" outlineLevel="0" collapsed="false">
      <c r="A30" s="0" t="s">
        <v>530</v>
      </c>
      <c r="B30" s="0" t="s">
        <v>529</v>
      </c>
      <c r="C30" s="0" t="s">
        <v>1290</v>
      </c>
    </row>
    <row r="31" customFormat="false" ht="15" hidden="false" customHeight="false" outlineLevel="0" collapsed="false">
      <c r="A31" s="0" t="s">
        <v>557</v>
      </c>
      <c r="B31" s="0" t="s">
        <v>556</v>
      </c>
      <c r="C31" s="0" t="s">
        <v>1290</v>
      </c>
    </row>
    <row r="32" customFormat="false" ht="15" hidden="false" customHeight="false" outlineLevel="0" collapsed="false">
      <c r="A32" s="0" t="s">
        <v>582</v>
      </c>
      <c r="B32" s="0" t="s">
        <v>581</v>
      </c>
      <c r="C32" s="19" t="s">
        <v>1289</v>
      </c>
    </row>
    <row r="33" customFormat="false" ht="15" hidden="false" customHeight="false" outlineLevel="0" collapsed="false">
      <c r="A33" s="0" t="s">
        <v>584</v>
      </c>
      <c r="B33" s="0" t="s">
        <v>583</v>
      </c>
      <c r="C33" s="19" t="s">
        <v>1289</v>
      </c>
    </row>
    <row r="34" customFormat="false" ht="15" hidden="false" customHeight="false" outlineLevel="0" collapsed="false">
      <c r="A34" s="0" t="s">
        <v>586</v>
      </c>
      <c r="B34" s="0" t="s">
        <v>585</v>
      </c>
      <c r="C34" s="19" t="s">
        <v>1289</v>
      </c>
    </row>
    <row r="35" customFormat="false" ht="15" hidden="false" customHeight="false" outlineLevel="0" collapsed="false">
      <c r="A35" s="0" t="s">
        <v>618</v>
      </c>
      <c r="B35" s="0" t="s">
        <v>617</v>
      </c>
      <c r="C35" s="19" t="s">
        <v>1289</v>
      </c>
    </row>
    <row r="36" customFormat="false" ht="15" hidden="false" customHeight="false" outlineLevel="0" collapsed="false">
      <c r="A36" s="0" t="s">
        <v>640</v>
      </c>
      <c r="B36" s="0" t="s">
        <v>639</v>
      </c>
      <c r="C36" s="19" t="s">
        <v>1289</v>
      </c>
    </row>
    <row r="37" customFormat="false" ht="15" hidden="false" customHeight="false" outlineLevel="0" collapsed="false">
      <c r="A37" s="0" t="s">
        <v>654</v>
      </c>
      <c r="B37" s="0" t="s">
        <v>653</v>
      </c>
      <c r="C37" s="0" t="s">
        <v>1290</v>
      </c>
    </row>
    <row r="38" customFormat="false" ht="15" hidden="false" customHeight="false" outlineLevel="0" collapsed="false">
      <c r="A38" s="0" t="s">
        <v>660</v>
      </c>
      <c r="B38" s="0" t="s">
        <v>659</v>
      </c>
      <c r="C38" s="0" t="s">
        <v>1290</v>
      </c>
    </row>
    <row r="39" customFormat="false" ht="15" hidden="false" customHeight="false" outlineLevel="0" collapsed="false">
      <c r="A39" s="0" t="s">
        <v>664</v>
      </c>
      <c r="B39" s="0" t="s">
        <v>663</v>
      </c>
      <c r="C39" s="19" t="s">
        <v>1289</v>
      </c>
    </row>
    <row r="40" customFormat="false" ht="15" hidden="false" customHeight="false" outlineLevel="0" collapsed="false">
      <c r="A40" s="0" t="s">
        <v>682</v>
      </c>
      <c r="B40" s="0" t="s">
        <v>681</v>
      </c>
      <c r="C40" s="19" t="s">
        <v>1289</v>
      </c>
    </row>
    <row r="41" customFormat="false" ht="15" hidden="false" customHeight="false" outlineLevel="0" collapsed="false">
      <c r="A41" s="0" t="s">
        <v>688</v>
      </c>
      <c r="B41" s="0" t="s">
        <v>687</v>
      </c>
      <c r="C41" s="0" t="s">
        <v>1290</v>
      </c>
    </row>
    <row r="42" customFormat="false" ht="15" hidden="false" customHeight="false" outlineLevel="0" collapsed="false">
      <c r="A42" s="0" t="s">
        <v>690</v>
      </c>
      <c r="B42" s="0" t="s">
        <v>689</v>
      </c>
      <c r="C42" s="19" t="s">
        <v>1295</v>
      </c>
    </row>
    <row r="43" customFormat="false" ht="15" hidden="false" customHeight="false" outlineLevel="0" collapsed="false">
      <c r="A43" s="0" t="s">
        <v>698</v>
      </c>
      <c r="B43" s="0" t="s">
        <v>697</v>
      </c>
      <c r="C43" s="19" t="s">
        <v>1289</v>
      </c>
    </row>
    <row r="44" customFormat="false" ht="15" hidden="false" customHeight="false" outlineLevel="0" collapsed="false">
      <c r="A44" s="0" t="s">
        <v>700</v>
      </c>
      <c r="B44" s="0" t="s">
        <v>699</v>
      </c>
      <c r="C44" s="19" t="s">
        <v>1289</v>
      </c>
    </row>
    <row r="45" customFormat="false" ht="15" hidden="false" customHeight="false" outlineLevel="0" collapsed="false">
      <c r="A45" s="0" t="s">
        <v>714</v>
      </c>
      <c r="B45" s="0" t="s">
        <v>713</v>
      </c>
      <c r="C45" s="19" t="s">
        <v>1289</v>
      </c>
    </row>
    <row r="46" customFormat="false" ht="15" hidden="false" customHeight="false" outlineLevel="0" collapsed="false">
      <c r="A46" s="0" t="s">
        <v>731</v>
      </c>
      <c r="B46" s="0" t="s">
        <v>730</v>
      </c>
      <c r="C46" s="19" t="s">
        <v>1289</v>
      </c>
    </row>
    <row r="47" customFormat="false" ht="15" hidden="false" customHeight="false" outlineLevel="0" collapsed="false">
      <c r="A47" s="0" t="s">
        <v>733</v>
      </c>
      <c r="B47" s="0" t="s">
        <v>732</v>
      </c>
      <c r="C47" s="0" t="s">
        <v>1290</v>
      </c>
    </row>
    <row r="48" customFormat="false" ht="15" hidden="false" customHeight="false" outlineLevel="0" collapsed="false">
      <c r="A48" s="0" t="s">
        <v>739</v>
      </c>
      <c r="B48" s="0" t="s">
        <v>738</v>
      </c>
      <c r="C48" s="19" t="s">
        <v>1295</v>
      </c>
    </row>
    <row r="49" customFormat="false" ht="15" hidden="false" customHeight="false" outlineLevel="0" collapsed="false">
      <c r="A49" s="0" t="s">
        <v>753</v>
      </c>
      <c r="B49" s="0" t="s">
        <v>752</v>
      </c>
      <c r="C49" s="19" t="s">
        <v>1289</v>
      </c>
    </row>
    <row r="50" customFormat="false" ht="15" hidden="false" customHeight="false" outlineLevel="0" collapsed="false">
      <c r="A50" s="0" t="s">
        <v>777</v>
      </c>
      <c r="B50" s="0" t="s">
        <v>776</v>
      </c>
      <c r="C50" s="19" t="s">
        <v>1289</v>
      </c>
    </row>
    <row r="51" customFormat="false" ht="15" hidden="false" customHeight="false" outlineLevel="0" collapsed="false">
      <c r="A51" s="0" t="s">
        <v>779</v>
      </c>
      <c r="B51" s="0" t="s">
        <v>778</v>
      </c>
      <c r="C51" s="19" t="s">
        <v>1289</v>
      </c>
    </row>
    <row r="52" customFormat="false" ht="15" hidden="false" customHeight="false" outlineLevel="0" collapsed="false">
      <c r="A52" s="0" t="s">
        <v>781</v>
      </c>
      <c r="B52" s="0" t="s">
        <v>780</v>
      </c>
      <c r="C52" s="19" t="s">
        <v>1289</v>
      </c>
    </row>
    <row r="53" customFormat="false" ht="15" hidden="false" customHeight="false" outlineLevel="0" collapsed="false">
      <c r="A53" s="0" t="s">
        <v>787</v>
      </c>
      <c r="B53" s="0" t="s">
        <v>786</v>
      </c>
      <c r="C53" s="19" t="s">
        <v>1289</v>
      </c>
    </row>
    <row r="54" customFormat="false" ht="15" hidden="false" customHeight="false" outlineLevel="0" collapsed="false">
      <c r="A54" s="0" t="s">
        <v>803</v>
      </c>
      <c r="B54" s="0" t="s">
        <v>802</v>
      </c>
      <c r="C54" s="19" t="s">
        <v>1289</v>
      </c>
    </row>
    <row r="55" customFormat="false" ht="15" hidden="false" customHeight="false" outlineLevel="0" collapsed="false">
      <c r="A55" s="0" t="s">
        <v>819</v>
      </c>
      <c r="B55" s="0" t="s">
        <v>818</v>
      </c>
      <c r="C55" s="19" t="s">
        <v>1296</v>
      </c>
    </row>
    <row r="56" customFormat="false" ht="15" hidden="false" customHeight="false" outlineLevel="0" collapsed="false">
      <c r="A56" s="0" t="s">
        <v>825</v>
      </c>
      <c r="B56" s="0" t="s">
        <v>824</v>
      </c>
      <c r="C56" s="19" t="s">
        <v>1289</v>
      </c>
    </row>
    <row r="57" customFormat="false" ht="15" hidden="false" customHeight="false" outlineLevel="0" collapsed="false">
      <c r="A57" s="0" t="s">
        <v>837</v>
      </c>
      <c r="B57" s="0" t="s">
        <v>836</v>
      </c>
      <c r="C57" s="0" t="s">
        <v>1290</v>
      </c>
    </row>
    <row r="58" customFormat="false" ht="15" hidden="false" customHeight="false" outlineLevel="0" collapsed="false">
      <c r="A58" s="0" t="s">
        <v>841</v>
      </c>
      <c r="B58" s="0" t="s">
        <v>840</v>
      </c>
      <c r="C58" s="0" t="s">
        <v>1290</v>
      </c>
    </row>
    <row r="59" customFormat="false" ht="15" hidden="false" customHeight="false" outlineLevel="0" collapsed="false">
      <c r="A59" s="0" t="s">
        <v>851</v>
      </c>
      <c r="B59" s="0" t="s">
        <v>850</v>
      </c>
      <c r="C59" s="19" t="s">
        <v>1289</v>
      </c>
    </row>
    <row r="60" customFormat="false" ht="15" hidden="false" customHeight="false" outlineLevel="0" collapsed="false">
      <c r="A60" s="0" t="s">
        <v>859</v>
      </c>
      <c r="B60" s="0" t="s">
        <v>858</v>
      </c>
      <c r="C60" s="0" t="s">
        <v>1290</v>
      </c>
    </row>
    <row r="61" customFormat="false" ht="15" hidden="false" customHeight="false" outlineLevel="0" collapsed="false">
      <c r="A61" s="0" t="s">
        <v>875</v>
      </c>
      <c r="B61" s="0" t="s">
        <v>874</v>
      </c>
      <c r="C61" s="19" t="s">
        <v>1289</v>
      </c>
    </row>
    <row r="62" customFormat="false" ht="15" hidden="false" customHeight="false" outlineLevel="0" collapsed="false">
      <c r="A62" s="0" t="s">
        <v>879</v>
      </c>
      <c r="B62" s="0" t="s">
        <v>878</v>
      </c>
      <c r="C62" s="19" t="s">
        <v>1289</v>
      </c>
    </row>
    <row r="63" customFormat="false" ht="15" hidden="false" customHeight="false" outlineLevel="0" collapsed="false">
      <c r="A63" s="0" t="s">
        <v>883</v>
      </c>
      <c r="B63" s="0" t="s">
        <v>882</v>
      </c>
      <c r="C63" s="19" t="s">
        <v>1295</v>
      </c>
    </row>
    <row r="64" customFormat="false" ht="15" hidden="false" customHeight="false" outlineLevel="0" collapsed="false">
      <c r="A64" s="0" t="s">
        <v>885</v>
      </c>
      <c r="B64" s="0" t="s">
        <v>884</v>
      </c>
      <c r="C64" s="19" t="s">
        <v>1289</v>
      </c>
    </row>
    <row r="65" customFormat="false" ht="15" hidden="false" customHeight="false" outlineLevel="0" collapsed="false">
      <c r="A65" s="0" t="s">
        <v>909</v>
      </c>
      <c r="B65" s="0" t="s">
        <v>908</v>
      </c>
      <c r="C65" s="19" t="s">
        <v>1289</v>
      </c>
    </row>
    <row r="66" customFormat="false" ht="15" hidden="false" customHeight="false" outlineLevel="0" collapsed="false">
      <c r="A66" s="0" t="s">
        <v>969</v>
      </c>
      <c r="B66" s="0" t="s">
        <v>968</v>
      </c>
      <c r="C66" s="19" t="s">
        <v>1295</v>
      </c>
    </row>
    <row r="67" customFormat="false" ht="15" hidden="false" customHeight="false" outlineLevel="0" collapsed="false">
      <c r="A67" s="0" t="s">
        <v>987</v>
      </c>
      <c r="B67" s="0" t="s">
        <v>986</v>
      </c>
      <c r="C67" s="0" t="s">
        <v>1290</v>
      </c>
    </row>
    <row r="68" customFormat="false" ht="15" hidden="false" customHeight="false" outlineLevel="0" collapsed="false">
      <c r="A68" s="0" t="s">
        <v>1011</v>
      </c>
      <c r="B68" s="0" t="s">
        <v>1010</v>
      </c>
      <c r="C68" s="0" t="s">
        <v>1290</v>
      </c>
    </row>
    <row r="69" customFormat="false" ht="15" hidden="false" customHeight="false" outlineLevel="0" collapsed="false">
      <c r="A69" s="0" t="s">
        <v>1029</v>
      </c>
      <c r="B69" s="0" t="s">
        <v>1028</v>
      </c>
      <c r="C69" s="19" t="s">
        <v>1289</v>
      </c>
    </row>
    <row r="70" customFormat="false" ht="15" hidden="false" customHeight="false" outlineLevel="0" collapsed="false">
      <c r="A70" s="0" t="s">
        <v>1043</v>
      </c>
      <c r="B70" s="0" t="s">
        <v>1042</v>
      </c>
      <c r="C70" s="19" t="s">
        <v>1289</v>
      </c>
    </row>
    <row r="71" customFormat="false" ht="15" hidden="false" customHeight="false" outlineLevel="0" collapsed="false">
      <c r="A71" s="0" t="s">
        <v>1053</v>
      </c>
      <c r="B71" s="0" t="s">
        <v>1052</v>
      </c>
      <c r="C71" s="19" t="s">
        <v>1289</v>
      </c>
    </row>
    <row r="72" customFormat="false" ht="15" hidden="false" customHeight="false" outlineLevel="0" collapsed="false">
      <c r="A72" s="0" t="s">
        <v>1077</v>
      </c>
      <c r="B72" s="0" t="s">
        <v>1076</v>
      </c>
      <c r="C72" s="19" t="s">
        <v>1289</v>
      </c>
    </row>
    <row r="73" customFormat="false" ht="15" hidden="false" customHeight="false" outlineLevel="0" collapsed="false">
      <c r="A73" s="0" t="s">
        <v>1081</v>
      </c>
      <c r="B73" s="0" t="s">
        <v>1080</v>
      </c>
      <c r="C73" s="19" t="s">
        <v>1289</v>
      </c>
    </row>
    <row r="74" customFormat="false" ht="15" hidden="false" customHeight="false" outlineLevel="0" collapsed="false">
      <c r="A74" s="0" t="s">
        <v>1087</v>
      </c>
      <c r="B74" s="0" t="s">
        <v>1086</v>
      </c>
      <c r="C74" s="19" t="s">
        <v>1289</v>
      </c>
    </row>
    <row r="75" customFormat="false" ht="15" hidden="false" customHeight="false" outlineLevel="0" collapsed="false">
      <c r="A75" s="0" t="s">
        <v>1093</v>
      </c>
      <c r="B75" s="0" t="s">
        <v>1092</v>
      </c>
      <c r="C75" s="0" t="s">
        <v>1292</v>
      </c>
    </row>
    <row r="76" customFormat="false" ht="15" hidden="false" customHeight="false" outlineLevel="0" collapsed="false">
      <c r="A76" s="0" t="s">
        <v>1106</v>
      </c>
      <c r="B76" s="0" t="s">
        <v>1105</v>
      </c>
      <c r="C76" s="19" t="s">
        <v>1289</v>
      </c>
    </row>
    <row r="77" customFormat="false" ht="15" hidden="false" customHeight="false" outlineLevel="0" collapsed="false">
      <c r="A77" s="0" t="s">
        <v>1116</v>
      </c>
      <c r="B77" s="0" t="s">
        <v>1115</v>
      </c>
      <c r="C77" s="19" t="s">
        <v>1289</v>
      </c>
    </row>
    <row r="78" customFormat="false" ht="15" hidden="false" customHeight="false" outlineLevel="0" collapsed="false">
      <c r="A78" s="0" t="s">
        <v>1118</v>
      </c>
      <c r="B78" s="0" t="s">
        <v>1117</v>
      </c>
      <c r="C78" s="0" t="s">
        <v>1290</v>
      </c>
    </row>
    <row r="79" customFormat="false" ht="15" hidden="false" customHeight="false" outlineLevel="0" collapsed="false">
      <c r="A79" s="0" t="s">
        <v>1120</v>
      </c>
      <c r="B79" s="0" t="s">
        <v>1119</v>
      </c>
      <c r="C79" s="19" t="s">
        <v>1289</v>
      </c>
    </row>
    <row r="80" customFormat="false" ht="15" hidden="false" customHeight="false" outlineLevel="0" collapsed="false">
      <c r="A80" s="0" t="s">
        <v>1134</v>
      </c>
      <c r="B80" s="0" t="s">
        <v>1133</v>
      </c>
      <c r="C80" s="0" t="s">
        <v>1290</v>
      </c>
    </row>
    <row r="81" customFormat="false" ht="15" hidden="false" customHeight="false" outlineLevel="0" collapsed="false">
      <c r="A81" s="0" t="s">
        <v>1138</v>
      </c>
      <c r="B81" s="0" t="s">
        <v>1137</v>
      </c>
      <c r="C81" s="19" t="s">
        <v>1289</v>
      </c>
    </row>
    <row r="82" customFormat="false" ht="15" hidden="false" customHeight="false" outlineLevel="0" collapsed="false">
      <c r="A82" s="0" t="s">
        <v>1144</v>
      </c>
      <c r="B82" s="0" t="s">
        <v>1143</v>
      </c>
      <c r="C82" s="0" t="s">
        <v>1290</v>
      </c>
    </row>
    <row r="83" customFormat="false" ht="15" hidden="false" customHeight="false" outlineLevel="0" collapsed="false">
      <c r="A83" s="0" t="s">
        <v>1196</v>
      </c>
      <c r="B83" s="0" t="s">
        <v>1195</v>
      </c>
      <c r="C83" s="19" t="s">
        <v>1289</v>
      </c>
    </row>
    <row r="84" customFormat="false" ht="15" hidden="false" customHeight="false" outlineLevel="0" collapsed="false">
      <c r="A84" s="0" t="s">
        <v>1200</v>
      </c>
      <c r="B84" s="0" t="s">
        <v>1199</v>
      </c>
      <c r="C84" s="19" t="s">
        <v>1289</v>
      </c>
    </row>
    <row r="85" customFormat="false" ht="15" hidden="false" customHeight="false" outlineLevel="0" collapsed="false">
      <c r="A85" s="0" t="s">
        <v>1204</v>
      </c>
      <c r="B85" s="0" t="s">
        <v>1203</v>
      </c>
      <c r="C85" s="0" t="s">
        <v>1297</v>
      </c>
    </row>
    <row r="86" customFormat="false" ht="15" hidden="false" customHeight="false" outlineLevel="0" collapsed="false">
      <c r="A86" s="0" t="s">
        <v>1212</v>
      </c>
      <c r="B86" s="0" t="s">
        <v>1211</v>
      </c>
      <c r="C86" s="19" t="s">
        <v>1298</v>
      </c>
    </row>
    <row r="87" customFormat="false" ht="15" hidden="false" customHeight="false" outlineLevel="0" collapsed="false">
      <c r="A87" s="0" t="s">
        <v>1215</v>
      </c>
      <c r="B87" s="0" t="s">
        <v>1214</v>
      </c>
      <c r="C87" s="19" t="s">
        <v>1299</v>
      </c>
    </row>
    <row r="88" customFormat="false" ht="15" hidden="false" customHeight="false" outlineLevel="0" collapsed="false">
      <c r="A88" s="0" t="s">
        <v>1217</v>
      </c>
      <c r="B88" s="0" t="s">
        <v>1216</v>
      </c>
      <c r="C88" s="19" t="s">
        <v>1300</v>
      </c>
    </row>
    <row r="90" customFormat="false" ht="15" hidden="false" customHeight="false" outlineLevel="0" collapsed="false">
      <c r="A90" s="28" t="s">
        <v>1301</v>
      </c>
    </row>
    <row r="91" customFormat="false" ht="15" hidden="false" customHeight="false" outlineLevel="0" collapsed="false">
      <c r="A91" s="28" t="s">
        <v>1</v>
      </c>
      <c r="B91" s="28" t="s">
        <v>0</v>
      </c>
      <c r="C91" s="29" t="s">
        <v>1302</v>
      </c>
      <c r="D91" s="29" t="s">
        <v>1303</v>
      </c>
      <c r="E91" s="29" t="s">
        <v>1304</v>
      </c>
      <c r="F91" s="29" t="s">
        <v>1305</v>
      </c>
      <c r="G91" s="29" t="s">
        <v>1306</v>
      </c>
      <c r="H91" s="28" t="s">
        <v>1307</v>
      </c>
    </row>
    <row r="92" customFormat="false" ht="15" hidden="false" customHeight="false" outlineLevel="0" collapsed="false">
      <c r="A92" s="0" t="s">
        <v>849</v>
      </c>
      <c r="B92" s="0" t="s">
        <v>848</v>
      </c>
      <c r="C92" s="0" t="s">
        <v>38</v>
      </c>
      <c r="D92" s="0" t="s">
        <v>494</v>
      </c>
      <c r="E92" s="0" t="s">
        <v>1308</v>
      </c>
      <c r="F92" s="0" t="s">
        <v>1309</v>
      </c>
      <c r="G92" s="0" t="s">
        <v>1310</v>
      </c>
    </row>
    <row r="93" customFormat="false" ht="15" hidden="false" customHeight="false" outlineLevel="0" collapsed="false">
      <c r="A93" s="0" t="s">
        <v>656</v>
      </c>
      <c r="B93" s="0" t="s">
        <v>655</v>
      </c>
      <c r="C93" s="0" t="s">
        <v>31</v>
      </c>
      <c r="D93" s="0" t="s">
        <v>132</v>
      </c>
      <c r="E93" s="0" t="s">
        <v>1311</v>
      </c>
      <c r="F93" s="0" t="s">
        <v>1312</v>
      </c>
      <c r="G93" s="0" t="s">
        <v>1313</v>
      </c>
    </row>
    <row r="94" customFormat="false" ht="15" hidden="false" customHeight="false" outlineLevel="0" collapsed="false">
      <c r="A94" s="0" t="s">
        <v>359</v>
      </c>
      <c r="B94" s="0" t="s">
        <v>358</v>
      </c>
      <c r="C94" s="0" t="s">
        <v>31</v>
      </c>
      <c r="D94" s="0" t="s">
        <v>132</v>
      </c>
      <c r="E94" s="0" t="s">
        <v>1311</v>
      </c>
      <c r="F94" s="0" t="s">
        <v>1312</v>
      </c>
      <c r="G94" s="0" t="s">
        <v>1313</v>
      </c>
    </row>
    <row r="95" customFormat="false" ht="15" hidden="false" customHeight="false" outlineLevel="0" collapsed="false">
      <c r="A95" s="0" t="s">
        <v>128</v>
      </c>
      <c r="B95" s="0" t="s">
        <v>127</v>
      </c>
      <c r="C95" s="0" t="s">
        <v>31</v>
      </c>
      <c r="D95" s="0" t="s">
        <v>132</v>
      </c>
      <c r="E95" s="0" t="s">
        <v>1311</v>
      </c>
      <c r="F95" s="0" t="s">
        <v>1312</v>
      </c>
      <c r="G95" s="0" t="s">
        <v>1313</v>
      </c>
    </row>
    <row r="96" customFormat="false" ht="15" hidden="false" customHeight="false" outlineLevel="0" collapsed="false">
      <c r="A96" s="0" t="s">
        <v>859</v>
      </c>
      <c r="B96" s="0" t="s">
        <v>858</v>
      </c>
      <c r="C96" s="0" t="s">
        <v>132</v>
      </c>
      <c r="D96" s="0" t="s">
        <v>1311</v>
      </c>
      <c r="E96" s="0" t="s">
        <v>1312</v>
      </c>
      <c r="F96" s="0" t="s">
        <v>1313</v>
      </c>
      <c r="G96" s="0" t="s">
        <v>1314</v>
      </c>
      <c r="H96" s="0" t="s">
        <v>1290</v>
      </c>
    </row>
    <row r="97" customFormat="false" ht="15" hidden="false" customHeight="false" outlineLevel="0" collapsed="false">
      <c r="A97" s="0" t="s">
        <v>1196</v>
      </c>
      <c r="B97" s="0" t="s">
        <v>1195</v>
      </c>
      <c r="C97" s="0" t="s">
        <v>31</v>
      </c>
      <c r="D97" s="0" t="s">
        <v>132</v>
      </c>
      <c r="E97" s="0" t="s">
        <v>1311</v>
      </c>
      <c r="F97" s="0" t="s">
        <v>1312</v>
      </c>
      <c r="G97" s="0" t="s">
        <v>1313</v>
      </c>
    </row>
    <row r="98" customFormat="false" ht="15" hidden="false" customHeight="false" outlineLevel="0" collapsed="false">
      <c r="A98" s="0" t="s">
        <v>949</v>
      </c>
      <c r="B98" s="0" t="s">
        <v>948</v>
      </c>
      <c r="C98" s="0" t="s">
        <v>65</v>
      </c>
      <c r="D98" s="0" t="s">
        <v>1315</v>
      </c>
      <c r="E98" s="0" t="s">
        <v>1213</v>
      </c>
      <c r="F98" s="0" t="s">
        <v>1316</v>
      </c>
      <c r="G98" s="0" t="s">
        <v>1317</v>
      </c>
    </row>
    <row r="99" customFormat="false" ht="15" hidden="false" customHeight="false" outlineLevel="0" collapsed="false">
      <c r="A99" s="0" t="s">
        <v>716</v>
      </c>
      <c r="B99" s="0" t="s">
        <v>715</v>
      </c>
      <c r="C99" s="0" t="s">
        <v>572</v>
      </c>
      <c r="D99" s="0" t="s">
        <v>65</v>
      </c>
      <c r="E99" s="0" t="s">
        <v>1315</v>
      </c>
      <c r="F99" s="0" t="s">
        <v>1213</v>
      </c>
      <c r="G99" s="0" t="s">
        <v>1316</v>
      </c>
    </row>
    <row r="100" customFormat="false" ht="15" hidden="false" customHeight="false" outlineLevel="0" collapsed="false">
      <c r="A100" s="0" t="s">
        <v>442</v>
      </c>
      <c r="B100" s="0" t="s">
        <v>441</v>
      </c>
      <c r="C100" s="0" t="s">
        <v>38</v>
      </c>
      <c r="D100" s="0" t="s">
        <v>494</v>
      </c>
      <c r="E100" s="0" t="s">
        <v>1308</v>
      </c>
      <c r="F100" s="0" t="s">
        <v>1309</v>
      </c>
      <c r="G100" s="0" t="s">
        <v>1310</v>
      </c>
    </row>
    <row r="101" customFormat="false" ht="15" hidden="false" customHeight="false" outlineLevel="0" collapsed="false">
      <c r="A101" s="0" t="s">
        <v>460</v>
      </c>
      <c r="B101" s="0" t="s">
        <v>459</v>
      </c>
      <c r="C101" s="0" t="s">
        <v>31</v>
      </c>
      <c r="D101" s="0" t="s">
        <v>132</v>
      </c>
      <c r="E101" s="0" t="s">
        <v>1311</v>
      </c>
      <c r="F101" s="0" t="s">
        <v>1312</v>
      </c>
      <c r="G101" s="0" t="s">
        <v>1313</v>
      </c>
    </row>
    <row r="102" customFormat="false" ht="15" hidden="false" customHeight="false" outlineLevel="0" collapsed="false">
      <c r="A102" s="0" t="s">
        <v>897</v>
      </c>
      <c r="B102" s="0" t="s">
        <v>896</v>
      </c>
      <c r="C102" s="0" t="s">
        <v>31</v>
      </c>
      <c r="D102" s="0" t="s">
        <v>132</v>
      </c>
      <c r="E102" s="0" t="s">
        <v>1311</v>
      </c>
      <c r="F102" s="0" t="s">
        <v>1312</v>
      </c>
      <c r="G102" s="0" t="s">
        <v>1313</v>
      </c>
    </row>
    <row r="103" customFormat="false" ht="15" hidden="false" customHeight="false" outlineLevel="0" collapsed="false">
      <c r="A103" s="0" t="s">
        <v>662</v>
      </c>
      <c r="B103" s="0" t="s">
        <v>661</v>
      </c>
      <c r="C103" s="0" t="s">
        <v>38</v>
      </c>
      <c r="D103" s="0" t="s">
        <v>494</v>
      </c>
      <c r="E103" s="0" t="s">
        <v>1308</v>
      </c>
      <c r="F103" s="0" t="s">
        <v>1309</v>
      </c>
      <c r="G103" s="0" t="s">
        <v>1310</v>
      </c>
    </row>
    <row r="104" customFormat="false" ht="15" hidden="false" customHeight="false" outlineLevel="0" collapsed="false">
      <c r="A104" s="0" t="s">
        <v>219</v>
      </c>
      <c r="B104" s="0" t="s">
        <v>218</v>
      </c>
      <c r="C104" s="0" t="s">
        <v>132</v>
      </c>
      <c r="D104" s="0" t="s">
        <v>1311</v>
      </c>
      <c r="E104" s="0" t="s">
        <v>1312</v>
      </c>
      <c r="F104" s="0" t="s">
        <v>1313</v>
      </c>
      <c r="G104" s="0" t="s">
        <v>1314</v>
      </c>
      <c r="H104" s="0" t="s">
        <v>1290</v>
      </c>
    </row>
    <row r="105" customFormat="false" ht="15" hidden="false" customHeight="false" outlineLevel="0" collapsed="false">
      <c r="A105" s="0" t="s">
        <v>887</v>
      </c>
      <c r="B105" s="0" t="s">
        <v>886</v>
      </c>
      <c r="C105" s="0" t="s">
        <v>31</v>
      </c>
      <c r="D105" s="0" t="s">
        <v>132</v>
      </c>
      <c r="E105" s="0" t="s">
        <v>1311</v>
      </c>
      <c r="F105" s="0" t="s">
        <v>1312</v>
      </c>
      <c r="G105" s="0" t="s">
        <v>1313</v>
      </c>
    </row>
    <row r="106" customFormat="false" ht="15" hidden="false" customHeight="false" outlineLevel="0" collapsed="false">
      <c r="A106" s="0" t="s">
        <v>626</v>
      </c>
      <c r="B106" s="0" t="s">
        <v>625</v>
      </c>
      <c r="C106" s="0" t="s">
        <v>31</v>
      </c>
      <c r="D106" s="0" t="s">
        <v>132</v>
      </c>
      <c r="E106" s="0" t="s">
        <v>1311</v>
      </c>
      <c r="F106" s="0" t="s">
        <v>1312</v>
      </c>
      <c r="G106" s="0" t="s">
        <v>1313</v>
      </c>
    </row>
    <row r="107" customFormat="false" ht="15" hidden="false" customHeight="false" outlineLevel="0" collapsed="false">
      <c r="A107" s="0" t="s">
        <v>1138</v>
      </c>
      <c r="B107" s="0" t="s">
        <v>1137</v>
      </c>
      <c r="C107" s="0" t="s">
        <v>31</v>
      </c>
      <c r="D107" s="0" t="s">
        <v>132</v>
      </c>
      <c r="E107" s="0" t="s">
        <v>1311</v>
      </c>
      <c r="F107" s="0" t="s">
        <v>1312</v>
      </c>
      <c r="G107" s="0" t="s">
        <v>1313</v>
      </c>
    </row>
    <row r="108" customFormat="false" ht="15" hidden="false" customHeight="false" outlineLevel="0" collapsed="false">
      <c r="A108" s="0" t="s">
        <v>1106</v>
      </c>
      <c r="B108" s="0" t="s">
        <v>1105</v>
      </c>
      <c r="C108" s="0" t="s">
        <v>31</v>
      </c>
      <c r="D108" s="0" t="s">
        <v>132</v>
      </c>
      <c r="E108" s="0" t="s">
        <v>1311</v>
      </c>
      <c r="F108" s="0" t="s">
        <v>1312</v>
      </c>
      <c r="G108" s="0" t="s">
        <v>1313</v>
      </c>
    </row>
    <row r="109" customFormat="false" ht="15" hidden="false" customHeight="false" outlineLevel="0" collapsed="false">
      <c r="A109" s="0" t="s">
        <v>803</v>
      </c>
      <c r="B109" s="0" t="s">
        <v>802</v>
      </c>
      <c r="C109" s="0" t="s">
        <v>31</v>
      </c>
      <c r="D109" s="0" t="s">
        <v>132</v>
      </c>
      <c r="E109" s="0" t="s">
        <v>1311</v>
      </c>
      <c r="F109" s="0" t="s">
        <v>1312</v>
      </c>
      <c r="G109" s="0" t="s">
        <v>1313</v>
      </c>
    </row>
    <row r="110" customFormat="false" ht="15" hidden="false" customHeight="false" outlineLevel="0" collapsed="false">
      <c r="A110" s="0" t="s">
        <v>592</v>
      </c>
      <c r="B110" s="0" t="s">
        <v>591</v>
      </c>
      <c r="C110" s="0" t="s">
        <v>31</v>
      </c>
      <c r="D110" s="0" t="s">
        <v>132</v>
      </c>
      <c r="E110" s="0" t="s">
        <v>1311</v>
      </c>
      <c r="F110" s="0" t="s">
        <v>1312</v>
      </c>
      <c r="G110" s="0" t="s">
        <v>1313</v>
      </c>
    </row>
    <row r="111" customFormat="false" ht="15" hidden="false" customHeight="false" outlineLevel="0" collapsed="false">
      <c r="A111" s="0" t="s">
        <v>957</v>
      </c>
      <c r="B111" s="0" t="s">
        <v>956</v>
      </c>
      <c r="C111" s="0" t="s">
        <v>31</v>
      </c>
      <c r="D111" s="0" t="s">
        <v>132</v>
      </c>
      <c r="E111" s="0" t="s">
        <v>1311</v>
      </c>
      <c r="F111" s="0" t="s">
        <v>1312</v>
      </c>
      <c r="G111" s="0" t="s">
        <v>1313</v>
      </c>
    </row>
    <row r="112" customFormat="false" ht="15" hidden="false" customHeight="false" outlineLevel="0" collapsed="false">
      <c r="A112" s="0" t="s">
        <v>225</v>
      </c>
      <c r="B112" s="0" t="s">
        <v>224</v>
      </c>
      <c r="C112" s="0" t="s">
        <v>31</v>
      </c>
      <c r="D112" s="0" t="s">
        <v>132</v>
      </c>
      <c r="E112" s="0" t="s">
        <v>1311</v>
      </c>
      <c r="F112" s="0" t="s">
        <v>1312</v>
      </c>
      <c r="G112" s="0" t="s">
        <v>1313</v>
      </c>
    </row>
    <row r="113" customFormat="false" ht="15" hidden="false" customHeight="false" outlineLevel="0" collapsed="false">
      <c r="A113" s="0" t="s">
        <v>1019</v>
      </c>
      <c r="B113" s="0" t="s">
        <v>1018</v>
      </c>
      <c r="C113" s="0" t="s">
        <v>31</v>
      </c>
      <c r="D113" s="0" t="s">
        <v>132</v>
      </c>
      <c r="E113" s="0" t="s">
        <v>1311</v>
      </c>
      <c r="F113" s="0" t="s">
        <v>1312</v>
      </c>
      <c r="G113" s="0" t="s">
        <v>1313</v>
      </c>
    </row>
    <row r="114" customFormat="false" ht="15" hidden="false" customHeight="false" outlineLevel="0" collapsed="false">
      <c r="A114" s="0" t="s">
        <v>753</v>
      </c>
      <c r="B114" s="0" t="s">
        <v>752</v>
      </c>
      <c r="C114" s="0" t="s">
        <v>31</v>
      </c>
      <c r="D114" s="0" t="s">
        <v>132</v>
      </c>
      <c r="E114" s="0" t="s">
        <v>1311</v>
      </c>
      <c r="F114" s="0" t="s">
        <v>1312</v>
      </c>
      <c r="G114" s="0" t="s">
        <v>1313</v>
      </c>
    </row>
    <row r="115" customFormat="false" ht="15" hidden="false" customHeight="false" outlineLevel="0" collapsed="false">
      <c r="A115" s="0" t="s">
        <v>427</v>
      </c>
      <c r="B115" s="0" t="s">
        <v>426</v>
      </c>
      <c r="C115" s="0" t="s">
        <v>31</v>
      </c>
      <c r="D115" s="0" t="s">
        <v>132</v>
      </c>
      <c r="E115" s="0" t="s">
        <v>1311</v>
      </c>
      <c r="F115" s="0" t="s">
        <v>1312</v>
      </c>
      <c r="G115" s="0" t="s">
        <v>1313</v>
      </c>
    </row>
    <row r="116" customFormat="false" ht="15" hidden="false" customHeight="false" outlineLevel="0" collapsed="false">
      <c r="A116" s="0" t="s">
        <v>37</v>
      </c>
      <c r="B116" s="0" t="s">
        <v>36</v>
      </c>
      <c r="C116" s="0" t="s">
        <v>38</v>
      </c>
      <c r="D116" s="0" t="s">
        <v>494</v>
      </c>
      <c r="E116" s="0" t="s">
        <v>1308</v>
      </c>
      <c r="F116" s="0" t="s">
        <v>1309</v>
      </c>
      <c r="G116" s="0" t="s">
        <v>1310</v>
      </c>
    </row>
    <row r="117" customFormat="false" ht="15" hidden="false" customHeight="false" outlineLevel="0" collapsed="false">
      <c r="A117" s="0" t="s">
        <v>588</v>
      </c>
      <c r="B117" s="0" t="s">
        <v>587</v>
      </c>
      <c r="C117" s="0" t="s">
        <v>31</v>
      </c>
      <c r="D117" s="0" t="s">
        <v>132</v>
      </c>
      <c r="E117" s="0" t="s">
        <v>1311</v>
      </c>
      <c r="F117" s="0" t="s">
        <v>1312</v>
      </c>
      <c r="G117" s="0" t="s">
        <v>1313</v>
      </c>
    </row>
    <row r="118" customFormat="false" ht="15" hidden="false" customHeight="false" outlineLevel="0" collapsed="false">
      <c r="A118" s="0" t="s">
        <v>391</v>
      </c>
      <c r="B118" s="0" t="s">
        <v>390</v>
      </c>
      <c r="C118" s="0" t="s">
        <v>31</v>
      </c>
      <c r="D118" s="0" t="s">
        <v>132</v>
      </c>
      <c r="E118" s="0" t="s">
        <v>1311</v>
      </c>
      <c r="F118" s="0" t="s">
        <v>1312</v>
      </c>
      <c r="G118" s="0" t="s">
        <v>1313</v>
      </c>
    </row>
    <row r="119" customFormat="false" ht="15" hidden="false" customHeight="false" outlineLevel="0" collapsed="false">
      <c r="A119" s="0" t="s">
        <v>672</v>
      </c>
      <c r="B119" s="0" t="s">
        <v>671</v>
      </c>
      <c r="C119" s="0" t="s">
        <v>31</v>
      </c>
      <c r="D119" s="0" t="s">
        <v>132</v>
      </c>
      <c r="E119" s="0" t="s">
        <v>1311</v>
      </c>
      <c r="F119" s="0" t="s">
        <v>1312</v>
      </c>
      <c r="G119" s="0" t="s">
        <v>1313</v>
      </c>
    </row>
    <row r="120" customFormat="false" ht="15" hidden="false" customHeight="false" outlineLevel="0" collapsed="false">
      <c r="A120" s="0" t="s">
        <v>290</v>
      </c>
      <c r="B120" s="0" t="s">
        <v>289</v>
      </c>
      <c r="C120" s="0" t="s">
        <v>31</v>
      </c>
      <c r="D120" s="0" t="s">
        <v>132</v>
      </c>
      <c r="E120" s="0" t="s">
        <v>1311</v>
      </c>
      <c r="F120" s="0" t="s">
        <v>1312</v>
      </c>
      <c r="G120" s="0" t="s">
        <v>1313</v>
      </c>
    </row>
    <row r="121" customFormat="false" ht="15" hidden="false" customHeight="false" outlineLevel="0" collapsed="false">
      <c r="A121" s="0" t="s">
        <v>714</v>
      </c>
      <c r="B121" s="0" t="s">
        <v>713</v>
      </c>
      <c r="C121" s="0" t="s">
        <v>31</v>
      </c>
      <c r="D121" s="0" t="s">
        <v>132</v>
      </c>
      <c r="E121" s="0" t="s">
        <v>1311</v>
      </c>
      <c r="F121" s="0" t="s">
        <v>1312</v>
      </c>
      <c r="G121" s="0" t="s">
        <v>1313</v>
      </c>
    </row>
    <row r="122" customFormat="false" ht="15" hidden="false" customHeight="false" outlineLevel="0" collapsed="false">
      <c r="A122" s="0" t="s">
        <v>999</v>
      </c>
      <c r="B122" s="0" t="s">
        <v>998</v>
      </c>
      <c r="C122" s="0" t="s">
        <v>31</v>
      </c>
      <c r="D122" s="0" t="s">
        <v>132</v>
      </c>
      <c r="E122" s="0" t="s">
        <v>1311</v>
      </c>
      <c r="F122" s="0" t="s">
        <v>1312</v>
      </c>
      <c r="G122" s="0" t="s">
        <v>1313</v>
      </c>
    </row>
    <row r="123" customFormat="false" ht="15" hidden="false" customHeight="false" outlineLevel="0" collapsed="false">
      <c r="A123" s="0" t="s">
        <v>654</v>
      </c>
      <c r="B123" s="0" t="s">
        <v>653</v>
      </c>
      <c r="C123" s="0" t="s">
        <v>132</v>
      </c>
      <c r="D123" s="0" t="s">
        <v>1311</v>
      </c>
      <c r="E123" s="0" t="s">
        <v>1312</v>
      </c>
      <c r="F123" s="0" t="s">
        <v>1313</v>
      </c>
      <c r="G123" s="0" t="s">
        <v>1314</v>
      </c>
      <c r="H123" s="0" t="s">
        <v>1290</v>
      </c>
    </row>
    <row r="124" customFormat="false" ht="15" hidden="false" customHeight="false" outlineLevel="0" collapsed="false">
      <c r="A124" s="0" t="s">
        <v>61</v>
      </c>
      <c r="B124" s="0" t="s">
        <v>60</v>
      </c>
      <c r="C124" s="0" t="s">
        <v>31</v>
      </c>
      <c r="D124" s="0" t="s">
        <v>132</v>
      </c>
      <c r="E124" s="0" t="s">
        <v>1311</v>
      </c>
      <c r="F124" s="0" t="s">
        <v>1312</v>
      </c>
      <c r="G124" s="0" t="s">
        <v>1313</v>
      </c>
    </row>
    <row r="125" customFormat="false" ht="15" hidden="false" customHeight="false" outlineLevel="0" collapsed="false">
      <c r="A125" s="0" t="s">
        <v>1071</v>
      </c>
      <c r="B125" s="0" t="s">
        <v>1070</v>
      </c>
      <c r="C125" s="0" t="s">
        <v>31</v>
      </c>
      <c r="D125" s="0" t="s">
        <v>132</v>
      </c>
      <c r="E125" s="0" t="s">
        <v>1311</v>
      </c>
      <c r="F125" s="0" t="s">
        <v>1312</v>
      </c>
      <c r="G125" s="0" t="s">
        <v>1313</v>
      </c>
    </row>
    <row r="126" customFormat="false" ht="15" hidden="false" customHeight="false" outlineLevel="0" collapsed="false">
      <c r="A126" s="0" t="s">
        <v>523</v>
      </c>
      <c r="B126" s="0" t="s">
        <v>522</v>
      </c>
      <c r="C126" s="0" t="s">
        <v>31</v>
      </c>
      <c r="D126" s="0" t="s">
        <v>132</v>
      </c>
      <c r="E126" s="0" t="s">
        <v>1311</v>
      </c>
      <c r="F126" s="0" t="s">
        <v>1312</v>
      </c>
      <c r="G126" s="0" t="s">
        <v>1313</v>
      </c>
    </row>
    <row r="127" customFormat="false" ht="15" hidden="false" customHeight="false" outlineLevel="0" collapsed="false">
      <c r="A127" s="0" t="s">
        <v>815</v>
      </c>
      <c r="B127" s="0" t="s">
        <v>814</v>
      </c>
      <c r="C127" s="0" t="s">
        <v>31</v>
      </c>
      <c r="D127" s="0" t="s">
        <v>132</v>
      </c>
      <c r="E127" s="0" t="s">
        <v>1311</v>
      </c>
      <c r="F127" s="0" t="s">
        <v>1312</v>
      </c>
      <c r="G127" s="0" t="s">
        <v>1313</v>
      </c>
    </row>
    <row r="128" customFormat="false" ht="15" hidden="false" customHeight="false" outlineLevel="0" collapsed="false">
      <c r="A128" s="0" t="s">
        <v>1005</v>
      </c>
      <c r="B128" s="0" t="s">
        <v>1004</v>
      </c>
      <c r="C128" s="0" t="s">
        <v>31</v>
      </c>
      <c r="D128" s="0" t="s">
        <v>132</v>
      </c>
      <c r="E128" s="0" t="s">
        <v>1311</v>
      </c>
      <c r="F128" s="0" t="s">
        <v>1312</v>
      </c>
      <c r="G128" s="0" t="s">
        <v>1313</v>
      </c>
    </row>
    <row r="129" customFormat="false" ht="15" hidden="false" customHeight="false" outlineLevel="0" collapsed="false">
      <c r="A129" s="0" t="s">
        <v>270</v>
      </c>
      <c r="B129" s="0" t="s">
        <v>269</v>
      </c>
      <c r="C129" s="0" t="s">
        <v>132</v>
      </c>
      <c r="D129" s="0" t="s">
        <v>1311</v>
      </c>
      <c r="E129" s="0" t="s">
        <v>1312</v>
      </c>
      <c r="F129" s="0" t="s">
        <v>1313</v>
      </c>
      <c r="G129" s="0" t="s">
        <v>1314</v>
      </c>
      <c r="H129" s="0" t="s">
        <v>1290</v>
      </c>
    </row>
    <row r="130" customFormat="false" ht="15" hidden="false" customHeight="false" outlineLevel="0" collapsed="false">
      <c r="A130" s="0" t="s">
        <v>71</v>
      </c>
      <c r="B130" s="0" t="s">
        <v>70</v>
      </c>
      <c r="C130" s="0" t="s">
        <v>31</v>
      </c>
      <c r="D130" s="0" t="s">
        <v>132</v>
      </c>
      <c r="E130" s="0" t="s">
        <v>1311</v>
      </c>
      <c r="F130" s="0" t="s">
        <v>1312</v>
      </c>
      <c r="G130" s="0" t="s">
        <v>1313</v>
      </c>
    </row>
    <row r="131" customFormat="false" ht="15" hidden="false" customHeight="false" outlineLevel="0" collapsed="false">
      <c r="A131" s="0" t="s">
        <v>553</v>
      </c>
      <c r="B131" s="0" t="s">
        <v>552</v>
      </c>
      <c r="C131" s="0" t="s">
        <v>31</v>
      </c>
      <c r="D131" s="0" t="s">
        <v>132</v>
      </c>
      <c r="E131" s="0" t="s">
        <v>1311</v>
      </c>
      <c r="F131" s="0" t="s">
        <v>1312</v>
      </c>
      <c r="G131" s="0" t="s">
        <v>1313</v>
      </c>
    </row>
    <row r="132" customFormat="false" ht="15" hidden="false" customHeight="false" outlineLevel="0" collapsed="false">
      <c r="A132" s="0" t="s">
        <v>1063</v>
      </c>
      <c r="B132" s="0" t="s">
        <v>1062</v>
      </c>
      <c r="C132" s="0" t="s">
        <v>31</v>
      </c>
      <c r="D132" s="0" t="s">
        <v>132</v>
      </c>
      <c r="E132" s="0" t="s">
        <v>1311</v>
      </c>
      <c r="F132" s="0" t="s">
        <v>1312</v>
      </c>
      <c r="G132" s="0" t="s">
        <v>1313</v>
      </c>
    </row>
    <row r="133" customFormat="false" ht="15" hidden="false" customHeight="false" outlineLevel="0" collapsed="false">
      <c r="A133" s="0" t="s">
        <v>1202</v>
      </c>
      <c r="B133" s="0" t="s">
        <v>1201</v>
      </c>
      <c r="C133" s="0" t="s">
        <v>31</v>
      </c>
      <c r="D133" s="0" t="s">
        <v>132</v>
      </c>
      <c r="E133" s="0" t="s">
        <v>1311</v>
      </c>
      <c r="F133" s="0" t="s">
        <v>1312</v>
      </c>
      <c r="G133" s="0" t="s">
        <v>1313</v>
      </c>
    </row>
    <row r="134" customFormat="false" ht="15" hidden="false" customHeight="false" outlineLevel="0" collapsed="false">
      <c r="A134" s="0" t="s">
        <v>939</v>
      </c>
      <c r="B134" s="0" t="s">
        <v>938</v>
      </c>
      <c r="C134" s="0" t="s">
        <v>31</v>
      </c>
      <c r="D134" s="0" t="s">
        <v>132</v>
      </c>
      <c r="E134" s="0" t="s">
        <v>1311</v>
      </c>
      <c r="F134" s="0" t="s">
        <v>1312</v>
      </c>
      <c r="G134" s="0" t="s">
        <v>1313</v>
      </c>
    </row>
    <row r="135" customFormat="false" ht="15" hidden="false" customHeight="false" outlineLevel="0" collapsed="false">
      <c r="A135" s="0" t="s">
        <v>989</v>
      </c>
      <c r="B135" s="0" t="s">
        <v>988</v>
      </c>
      <c r="C135" s="0" t="s">
        <v>31</v>
      </c>
      <c r="D135" s="0" t="s">
        <v>132</v>
      </c>
      <c r="E135" s="0" t="s">
        <v>1311</v>
      </c>
      <c r="F135" s="0" t="s">
        <v>1312</v>
      </c>
      <c r="G135" s="0" t="s">
        <v>1313</v>
      </c>
    </row>
    <row r="136" customFormat="false" ht="15" hidden="false" customHeight="false" outlineLevel="0" collapsed="false">
      <c r="A136" s="0" t="s">
        <v>136</v>
      </c>
      <c r="B136" s="0" t="s">
        <v>135</v>
      </c>
      <c r="C136" s="0" t="s">
        <v>38</v>
      </c>
      <c r="D136" s="0" t="s">
        <v>494</v>
      </c>
      <c r="E136" s="0" t="s">
        <v>1308</v>
      </c>
      <c r="F136" s="0" t="s">
        <v>1309</v>
      </c>
      <c r="G136" s="0" t="s">
        <v>1310</v>
      </c>
    </row>
    <row r="137" customFormat="false" ht="15" hidden="false" customHeight="false" outlineLevel="0" collapsed="false">
      <c r="A137" s="0" t="s">
        <v>747</v>
      </c>
      <c r="B137" s="0" t="s">
        <v>746</v>
      </c>
      <c r="C137" s="0" t="s">
        <v>31</v>
      </c>
      <c r="D137" s="0" t="s">
        <v>132</v>
      </c>
      <c r="E137" s="0" t="s">
        <v>1311</v>
      </c>
      <c r="F137" s="0" t="s">
        <v>1312</v>
      </c>
      <c r="G137" s="0" t="s">
        <v>1313</v>
      </c>
    </row>
    <row r="138" customFormat="false" ht="15" hidden="false" customHeight="false" outlineLevel="0" collapsed="false">
      <c r="A138" s="0" t="s">
        <v>400</v>
      </c>
      <c r="B138" s="0" t="s">
        <v>399</v>
      </c>
      <c r="C138" s="0" t="s">
        <v>31</v>
      </c>
      <c r="D138" s="0" t="s">
        <v>132</v>
      </c>
      <c r="E138" s="0" t="s">
        <v>1311</v>
      </c>
      <c r="F138" s="0" t="s">
        <v>1312</v>
      </c>
      <c r="G138" s="0" t="s">
        <v>1313</v>
      </c>
    </row>
    <row r="139" customFormat="false" ht="15" hidden="false" customHeight="false" outlineLevel="0" collapsed="false">
      <c r="A139" s="0" t="s">
        <v>406</v>
      </c>
      <c r="B139" s="0" t="s">
        <v>405</v>
      </c>
      <c r="C139" s="0" t="s">
        <v>31</v>
      </c>
      <c r="D139" s="0" t="s">
        <v>132</v>
      </c>
      <c r="E139" s="0" t="s">
        <v>1311</v>
      </c>
      <c r="F139" s="0" t="s">
        <v>1312</v>
      </c>
      <c r="G139" s="0" t="s">
        <v>1313</v>
      </c>
    </row>
    <row r="140" customFormat="false" ht="15" hidden="false" customHeight="false" outlineLevel="0" collapsed="false">
      <c r="A140" s="0" t="s">
        <v>781</v>
      </c>
      <c r="B140" s="0" t="s">
        <v>780</v>
      </c>
      <c r="C140" s="0" t="s">
        <v>31</v>
      </c>
      <c r="D140" s="0" t="s">
        <v>132</v>
      </c>
      <c r="E140" s="0" t="s">
        <v>1311</v>
      </c>
      <c r="F140" s="0" t="s">
        <v>1312</v>
      </c>
      <c r="G140" s="0" t="s">
        <v>1313</v>
      </c>
    </row>
    <row r="141" customFormat="false" ht="15" hidden="false" customHeight="false" outlineLevel="0" collapsed="false">
      <c r="A141" s="0" t="s">
        <v>356</v>
      </c>
      <c r="B141" s="0" t="s">
        <v>355</v>
      </c>
      <c r="C141" s="0" t="s">
        <v>65</v>
      </c>
      <c r="D141" s="0" t="s">
        <v>1315</v>
      </c>
      <c r="E141" s="0" t="s">
        <v>1213</v>
      </c>
      <c r="F141" s="0" t="s">
        <v>1316</v>
      </c>
      <c r="G141" s="0" t="s">
        <v>1317</v>
      </c>
    </row>
    <row r="142" customFormat="false" ht="15" hidden="false" customHeight="false" outlineLevel="0" collapsed="false">
      <c r="A142" s="0" t="s">
        <v>688</v>
      </c>
      <c r="B142" s="0" t="s">
        <v>687</v>
      </c>
      <c r="C142" s="0" t="s">
        <v>132</v>
      </c>
      <c r="D142" s="0" t="s">
        <v>1311</v>
      </c>
      <c r="E142" s="0" t="s">
        <v>1312</v>
      </c>
      <c r="F142" s="0" t="s">
        <v>1313</v>
      </c>
      <c r="G142" s="0" t="s">
        <v>1314</v>
      </c>
      <c r="H142" s="0" t="s">
        <v>1290</v>
      </c>
    </row>
    <row r="143" customFormat="false" ht="15" hidden="false" customHeight="false" outlineLevel="0" collapsed="false">
      <c r="A143" s="0" t="s">
        <v>883</v>
      </c>
      <c r="B143" s="0" t="s">
        <v>882</v>
      </c>
      <c r="C143" s="0" t="s">
        <v>132</v>
      </c>
      <c r="D143" s="0" t="s">
        <v>1311</v>
      </c>
      <c r="E143" s="0" t="s">
        <v>1312</v>
      </c>
      <c r="F143" s="0" t="s">
        <v>1313</v>
      </c>
      <c r="G143" s="0" t="s">
        <v>1314</v>
      </c>
      <c r="H143" s="0" t="s">
        <v>1290</v>
      </c>
    </row>
    <row r="144" customFormat="false" ht="15" hidden="false" customHeight="false" outlineLevel="0" collapsed="false">
      <c r="A144" s="0" t="s">
        <v>445</v>
      </c>
      <c r="B144" s="0" t="s">
        <v>444</v>
      </c>
      <c r="C144" s="0" t="s">
        <v>31</v>
      </c>
      <c r="D144" s="0" t="s">
        <v>132</v>
      </c>
      <c r="E144" s="0" t="s">
        <v>1311</v>
      </c>
      <c r="F144" s="0" t="s">
        <v>1312</v>
      </c>
      <c r="G144" s="0" t="s">
        <v>1313</v>
      </c>
    </row>
    <row r="145" customFormat="false" ht="15" hidden="false" customHeight="false" outlineLevel="0" collapsed="false">
      <c r="A145" s="0" t="s">
        <v>959</v>
      </c>
      <c r="B145" s="0" t="s">
        <v>958</v>
      </c>
      <c r="C145" s="0" t="s">
        <v>31</v>
      </c>
      <c r="D145" s="0" t="s">
        <v>132</v>
      </c>
      <c r="E145" s="0" t="s">
        <v>1311</v>
      </c>
      <c r="F145" s="0" t="s">
        <v>1312</v>
      </c>
      <c r="G145" s="0" t="s">
        <v>1313</v>
      </c>
    </row>
    <row r="146" customFormat="false" ht="15" hidden="false" customHeight="false" outlineLevel="0" collapsed="false">
      <c r="A146" s="0" t="s">
        <v>1041</v>
      </c>
      <c r="B146" s="0" t="s">
        <v>1040</v>
      </c>
      <c r="C146" s="0" t="s">
        <v>38</v>
      </c>
      <c r="D146" s="0" t="s">
        <v>494</v>
      </c>
      <c r="E146" s="0" t="s">
        <v>1308</v>
      </c>
      <c r="F146" s="0" t="s">
        <v>1309</v>
      </c>
      <c r="G146" s="0" t="s">
        <v>1310</v>
      </c>
    </row>
    <row r="147" customFormat="false" ht="15" hidden="false" customHeight="false" outlineLevel="0" collapsed="false">
      <c r="A147" s="0" t="s">
        <v>953</v>
      </c>
      <c r="B147" s="0" t="s">
        <v>952</v>
      </c>
      <c r="C147" s="0" t="s">
        <v>31</v>
      </c>
      <c r="D147" s="0" t="s">
        <v>132</v>
      </c>
      <c r="E147" s="0" t="s">
        <v>1311</v>
      </c>
      <c r="F147" s="0" t="s">
        <v>1312</v>
      </c>
      <c r="G147" s="0" t="s">
        <v>1313</v>
      </c>
    </row>
    <row r="148" customFormat="false" ht="15" hidden="false" customHeight="false" outlineLevel="0" collapsed="false">
      <c r="A148" s="0" t="s">
        <v>109</v>
      </c>
      <c r="B148" s="0" t="s">
        <v>108</v>
      </c>
      <c r="C148" s="0" t="s">
        <v>31</v>
      </c>
      <c r="D148" s="0" t="s">
        <v>132</v>
      </c>
      <c r="E148" s="0" t="s">
        <v>1311</v>
      </c>
      <c r="F148" s="0" t="s">
        <v>1312</v>
      </c>
      <c r="G148" s="0" t="s">
        <v>1313</v>
      </c>
    </row>
    <row r="149" customFormat="false" ht="15" hidden="false" customHeight="false" outlineLevel="0" collapsed="false">
      <c r="A149" s="0" t="s">
        <v>684</v>
      </c>
      <c r="B149" s="0" t="s">
        <v>683</v>
      </c>
      <c r="C149" s="0" t="s">
        <v>31</v>
      </c>
      <c r="D149" s="0" t="s">
        <v>132</v>
      </c>
      <c r="E149" s="0" t="s">
        <v>1311</v>
      </c>
      <c r="F149" s="0" t="s">
        <v>1312</v>
      </c>
      <c r="G149" s="0" t="s">
        <v>1313</v>
      </c>
    </row>
    <row r="150" customFormat="false" ht="15" hidden="false" customHeight="false" outlineLevel="0" collapsed="false">
      <c r="A150" s="0" t="s">
        <v>1152</v>
      </c>
      <c r="B150" s="0" t="s">
        <v>1151</v>
      </c>
      <c r="C150" s="0" t="s">
        <v>38</v>
      </c>
      <c r="D150" s="0" t="s">
        <v>494</v>
      </c>
      <c r="E150" s="0" t="s">
        <v>1308</v>
      </c>
      <c r="F150" s="0" t="s">
        <v>1309</v>
      </c>
      <c r="G150" s="0" t="s">
        <v>1310</v>
      </c>
    </row>
    <row r="151" customFormat="false" ht="15" hidden="false" customHeight="false" outlineLevel="0" collapsed="false">
      <c r="A151" s="0" t="s">
        <v>547</v>
      </c>
      <c r="B151" s="0" t="s">
        <v>546</v>
      </c>
      <c r="C151" s="0" t="s">
        <v>31</v>
      </c>
      <c r="D151" s="0" t="s">
        <v>132</v>
      </c>
      <c r="E151" s="0" t="s">
        <v>1311</v>
      </c>
      <c r="F151" s="0" t="s">
        <v>1312</v>
      </c>
      <c r="G151" s="0" t="s">
        <v>1313</v>
      </c>
    </row>
    <row r="152" customFormat="false" ht="15" hidden="false" customHeight="false" outlineLevel="0" collapsed="false">
      <c r="A152" s="0" t="s">
        <v>472</v>
      </c>
      <c r="B152" s="0" t="s">
        <v>471</v>
      </c>
      <c r="C152" s="0" t="s">
        <v>31</v>
      </c>
      <c r="D152" s="0" t="s">
        <v>132</v>
      </c>
      <c r="E152" s="0" t="s">
        <v>1311</v>
      </c>
      <c r="F152" s="0" t="s">
        <v>1312</v>
      </c>
      <c r="G152" s="0" t="s">
        <v>1313</v>
      </c>
    </row>
    <row r="153" customFormat="false" ht="15" hidden="false" customHeight="false" outlineLevel="0" collapsed="false">
      <c r="A153" s="0" t="s">
        <v>142</v>
      </c>
      <c r="B153" s="0" t="s">
        <v>141</v>
      </c>
      <c r="C153" s="0" t="s">
        <v>31</v>
      </c>
      <c r="D153" s="0" t="s">
        <v>132</v>
      </c>
      <c r="E153" s="0" t="s">
        <v>1311</v>
      </c>
      <c r="F153" s="0" t="s">
        <v>1312</v>
      </c>
      <c r="G153" s="0" t="s">
        <v>1313</v>
      </c>
    </row>
    <row r="154" customFormat="false" ht="15" hidden="false" customHeight="false" outlineLevel="0" collapsed="false">
      <c r="A154" s="0" t="s">
        <v>1164</v>
      </c>
      <c r="B154" s="0" t="s">
        <v>1163</v>
      </c>
      <c r="C154" s="0" t="s">
        <v>31</v>
      </c>
      <c r="D154" s="0" t="s">
        <v>132</v>
      </c>
      <c r="E154" s="0" t="s">
        <v>1311</v>
      </c>
      <c r="F154" s="0" t="s">
        <v>1312</v>
      </c>
      <c r="G154" s="0" t="s">
        <v>1313</v>
      </c>
    </row>
    <row r="155" customFormat="false" ht="15" hidden="false" customHeight="false" outlineLevel="0" collapsed="false">
      <c r="A155" s="0" t="s">
        <v>567</v>
      </c>
      <c r="B155" s="0" t="s">
        <v>566</v>
      </c>
      <c r="C155" s="0" t="s">
        <v>31</v>
      </c>
      <c r="D155" s="0" t="s">
        <v>132</v>
      </c>
      <c r="E155" s="0" t="s">
        <v>1311</v>
      </c>
      <c r="F155" s="0" t="s">
        <v>1312</v>
      </c>
      <c r="G155" s="0" t="s">
        <v>1313</v>
      </c>
    </row>
    <row r="156" customFormat="false" ht="15" hidden="false" customHeight="false" outlineLevel="0" collapsed="false">
      <c r="A156" s="0" t="s">
        <v>373</v>
      </c>
      <c r="B156" s="0" t="s">
        <v>372</v>
      </c>
      <c r="C156" s="0" t="s">
        <v>31</v>
      </c>
      <c r="D156" s="0" t="s">
        <v>132</v>
      </c>
      <c r="E156" s="0" t="s">
        <v>1311</v>
      </c>
      <c r="F156" s="0" t="s">
        <v>1312</v>
      </c>
      <c r="G156" s="0" t="s">
        <v>1313</v>
      </c>
    </row>
    <row r="157" customFormat="false" ht="15" hidden="false" customHeight="false" outlineLevel="0" collapsed="false">
      <c r="A157" s="0" t="s">
        <v>690</v>
      </c>
      <c r="B157" s="0" t="s">
        <v>689</v>
      </c>
      <c r="C157" s="0" t="s">
        <v>132</v>
      </c>
      <c r="D157" s="0" t="s">
        <v>1311</v>
      </c>
      <c r="E157" s="0" t="s">
        <v>1312</v>
      </c>
      <c r="F157" s="0" t="s">
        <v>1313</v>
      </c>
      <c r="G157" s="0" t="s">
        <v>1314</v>
      </c>
      <c r="H157" s="0" t="s">
        <v>1290</v>
      </c>
    </row>
    <row r="158" customFormat="false" ht="15" hidden="false" customHeight="false" outlineLevel="0" collapsed="false">
      <c r="A158" s="0" t="s">
        <v>347</v>
      </c>
      <c r="B158" s="0" t="s">
        <v>346</v>
      </c>
      <c r="C158" s="0" t="s">
        <v>31</v>
      </c>
      <c r="D158" s="0" t="s">
        <v>132</v>
      </c>
      <c r="E158" s="0" t="s">
        <v>1311</v>
      </c>
      <c r="F158" s="0" t="s">
        <v>1312</v>
      </c>
      <c r="G158" s="0" t="s">
        <v>1313</v>
      </c>
    </row>
    <row r="159" customFormat="false" ht="15" hidden="false" customHeight="false" outlineLevel="0" collapsed="false">
      <c r="A159" s="0" t="s">
        <v>156</v>
      </c>
      <c r="B159" s="0" t="s">
        <v>155</v>
      </c>
      <c r="C159" s="0" t="s">
        <v>31</v>
      </c>
      <c r="D159" s="0" t="s">
        <v>132</v>
      </c>
      <c r="E159" s="0" t="s">
        <v>1311</v>
      </c>
      <c r="F159" s="0" t="s">
        <v>1313</v>
      </c>
      <c r="G159" s="0" t="s">
        <v>1314</v>
      </c>
    </row>
    <row r="160" customFormat="false" ht="15" hidden="false" customHeight="false" outlineLevel="0" collapsed="false">
      <c r="A160" s="0" t="s">
        <v>563</v>
      </c>
      <c r="B160" s="0" t="s">
        <v>562</v>
      </c>
      <c r="C160" s="0" t="s">
        <v>31</v>
      </c>
      <c r="D160" s="0" t="s">
        <v>132</v>
      </c>
      <c r="E160" s="0" t="s">
        <v>1311</v>
      </c>
      <c r="F160" s="0" t="s">
        <v>1312</v>
      </c>
      <c r="G160" s="0" t="s">
        <v>1313</v>
      </c>
    </row>
    <row r="161" customFormat="false" ht="15" hidden="false" customHeight="false" outlineLevel="0" collapsed="false">
      <c r="A161" s="0" t="s">
        <v>867</v>
      </c>
      <c r="B161" s="0" t="s">
        <v>866</v>
      </c>
      <c r="C161" s="0" t="s">
        <v>31</v>
      </c>
      <c r="D161" s="0" t="s">
        <v>132</v>
      </c>
      <c r="E161" s="0" t="s">
        <v>1311</v>
      </c>
      <c r="F161" s="0" t="s">
        <v>1312</v>
      </c>
      <c r="G161" s="0" t="s">
        <v>1313</v>
      </c>
    </row>
    <row r="162" customFormat="false" ht="15" hidden="false" customHeight="false" outlineLevel="0" collapsed="false">
      <c r="A162" s="0" t="s">
        <v>116</v>
      </c>
      <c r="B162" s="0" t="s">
        <v>115</v>
      </c>
      <c r="C162" s="0" t="s">
        <v>31</v>
      </c>
      <c r="D162" s="0" t="s">
        <v>132</v>
      </c>
      <c r="E162" s="0" t="s">
        <v>1311</v>
      </c>
      <c r="F162" s="0" t="s">
        <v>1312</v>
      </c>
      <c r="G162" s="0" t="s">
        <v>1313</v>
      </c>
    </row>
    <row r="163" customFormat="false" ht="15" hidden="false" customHeight="false" outlineLevel="0" collapsed="false">
      <c r="A163" s="0" t="s">
        <v>1047</v>
      </c>
      <c r="B163" s="0" t="s">
        <v>1046</v>
      </c>
      <c r="C163" s="0" t="s">
        <v>31</v>
      </c>
      <c r="D163" s="0" t="s">
        <v>132</v>
      </c>
      <c r="E163" s="0" t="s">
        <v>1311</v>
      </c>
      <c r="F163" s="0" t="s">
        <v>1312</v>
      </c>
      <c r="G163" s="0" t="s">
        <v>1313</v>
      </c>
    </row>
    <row r="164" customFormat="false" ht="15" hidden="false" customHeight="false" outlineLevel="0" collapsed="false">
      <c r="A164" s="0" t="s">
        <v>682</v>
      </c>
      <c r="B164" s="0" t="s">
        <v>681</v>
      </c>
      <c r="C164" s="0" t="s">
        <v>31</v>
      </c>
      <c r="D164" s="0" t="s">
        <v>132</v>
      </c>
      <c r="E164" s="0" t="s">
        <v>1311</v>
      </c>
      <c r="F164" s="0" t="s">
        <v>1312</v>
      </c>
      <c r="G164" s="0" t="s">
        <v>1313</v>
      </c>
    </row>
    <row r="165" customFormat="false" ht="15" hidden="false" customHeight="false" outlineLevel="0" collapsed="false">
      <c r="A165" s="0" t="s">
        <v>937</v>
      </c>
      <c r="B165" s="0" t="s">
        <v>936</v>
      </c>
      <c r="C165" s="0" t="s">
        <v>31</v>
      </c>
      <c r="D165" s="0" t="s">
        <v>132</v>
      </c>
      <c r="E165" s="0" t="s">
        <v>1311</v>
      </c>
      <c r="F165" s="0" t="s">
        <v>1312</v>
      </c>
      <c r="G165" s="0" t="s">
        <v>1313</v>
      </c>
    </row>
    <row r="166" customFormat="false" ht="15" hidden="false" customHeight="false" outlineLevel="0" collapsed="false">
      <c r="A166" s="0" t="s">
        <v>258</v>
      </c>
      <c r="B166" s="0" t="s">
        <v>257</v>
      </c>
      <c r="C166" s="0" t="s">
        <v>31</v>
      </c>
      <c r="D166" s="0" t="s">
        <v>132</v>
      </c>
      <c r="E166" s="0" t="s">
        <v>1311</v>
      </c>
      <c r="F166" s="0" t="s">
        <v>1312</v>
      </c>
      <c r="G166" s="0" t="s">
        <v>1313</v>
      </c>
    </row>
    <row r="167" customFormat="false" ht="15" hidden="false" customHeight="false" outlineLevel="0" collapsed="false">
      <c r="A167" s="0" t="s">
        <v>201</v>
      </c>
      <c r="B167" s="0" t="s">
        <v>200</v>
      </c>
      <c r="C167" s="0" t="s">
        <v>38</v>
      </c>
      <c r="D167" s="0" t="s">
        <v>494</v>
      </c>
      <c r="E167" s="0" t="s">
        <v>1308</v>
      </c>
      <c r="F167" s="0" t="s">
        <v>1309</v>
      </c>
      <c r="G167" s="0" t="s">
        <v>1310</v>
      </c>
    </row>
    <row r="168" customFormat="false" ht="15" hidden="false" customHeight="false" outlineLevel="0" collapsed="false">
      <c r="A168" s="0" t="s">
        <v>276</v>
      </c>
      <c r="B168" s="0" t="s">
        <v>275</v>
      </c>
      <c r="C168" s="0" t="s">
        <v>31</v>
      </c>
      <c r="D168" s="0" t="s">
        <v>132</v>
      </c>
      <c r="E168" s="0" t="s">
        <v>1311</v>
      </c>
      <c r="F168" s="0" t="s">
        <v>1312</v>
      </c>
      <c r="G168" s="0" t="s">
        <v>1313</v>
      </c>
    </row>
    <row r="169" customFormat="false" ht="15" hidden="false" customHeight="false" outlineLevel="0" collapsed="false">
      <c r="A169" s="0" t="s">
        <v>879</v>
      </c>
      <c r="B169" s="0" t="s">
        <v>878</v>
      </c>
      <c r="C169" s="0" t="s">
        <v>31</v>
      </c>
      <c r="D169" s="0" t="s">
        <v>132</v>
      </c>
      <c r="E169" s="0" t="s">
        <v>1311</v>
      </c>
      <c r="F169" s="0" t="s">
        <v>1312</v>
      </c>
      <c r="G169" s="0" t="s">
        <v>1313</v>
      </c>
    </row>
    <row r="170" customFormat="false" ht="15" hidden="false" customHeight="false" outlineLevel="0" collapsed="false">
      <c r="A170" s="0" t="s">
        <v>49</v>
      </c>
      <c r="B170" s="0" t="s">
        <v>48</v>
      </c>
      <c r="C170" s="0" t="s">
        <v>31</v>
      </c>
      <c r="D170" s="0" t="s">
        <v>132</v>
      </c>
      <c r="E170" s="0" t="s">
        <v>1311</v>
      </c>
      <c r="F170" s="0" t="s">
        <v>1312</v>
      </c>
      <c r="G170" s="0" t="s">
        <v>1313</v>
      </c>
    </row>
    <row r="171" customFormat="false" ht="15" hidden="false" customHeight="false" outlineLevel="0" collapsed="false">
      <c r="A171" s="0" t="s">
        <v>666</v>
      </c>
      <c r="B171" s="0" t="s">
        <v>665</v>
      </c>
      <c r="C171" s="0" t="s">
        <v>31</v>
      </c>
      <c r="D171" s="0" t="s">
        <v>132</v>
      </c>
      <c r="E171" s="0" t="s">
        <v>1311</v>
      </c>
      <c r="F171" s="0" t="s">
        <v>1312</v>
      </c>
      <c r="G171" s="0" t="s">
        <v>1313</v>
      </c>
    </row>
    <row r="172" customFormat="false" ht="15" hidden="false" customHeight="false" outlineLevel="0" collapsed="false">
      <c r="A172" s="0" t="s">
        <v>1184</v>
      </c>
      <c r="B172" s="0" t="s">
        <v>1183</v>
      </c>
      <c r="C172" s="0" t="s">
        <v>31</v>
      </c>
      <c r="D172" s="0" t="s">
        <v>132</v>
      </c>
      <c r="E172" s="0" t="s">
        <v>1311</v>
      </c>
      <c r="F172" s="0" t="s">
        <v>1312</v>
      </c>
      <c r="G172" s="0" t="s">
        <v>1313</v>
      </c>
    </row>
    <row r="173" customFormat="false" ht="15" hidden="false" customHeight="false" outlineLevel="0" collapsed="false">
      <c r="A173" s="0" t="s">
        <v>961</v>
      </c>
      <c r="B173" s="0" t="s">
        <v>960</v>
      </c>
      <c r="C173" s="0" t="s">
        <v>65</v>
      </c>
      <c r="D173" s="0" t="s">
        <v>1315</v>
      </c>
      <c r="E173" s="0" t="s">
        <v>1213</v>
      </c>
      <c r="F173" s="0" t="s">
        <v>1316</v>
      </c>
      <c r="G173" s="0" t="s">
        <v>1317</v>
      </c>
    </row>
    <row r="174" customFormat="false" ht="15" hidden="false" customHeight="false" outlineLevel="0" collapsed="false">
      <c r="A174" s="0" t="s">
        <v>598</v>
      </c>
      <c r="B174" s="0" t="s">
        <v>597</v>
      </c>
      <c r="C174" s="0" t="s">
        <v>31</v>
      </c>
      <c r="D174" s="0" t="s">
        <v>132</v>
      </c>
      <c r="E174" s="0" t="s">
        <v>1311</v>
      </c>
      <c r="F174" s="0" t="s">
        <v>1312</v>
      </c>
      <c r="G174" s="0" t="s">
        <v>1313</v>
      </c>
    </row>
    <row r="175" customFormat="false" ht="15" hidden="false" customHeight="false" outlineLevel="0" collapsed="false">
      <c r="A175" s="0" t="s">
        <v>30</v>
      </c>
      <c r="B175" s="0" t="s">
        <v>29</v>
      </c>
      <c r="C175" s="0" t="s">
        <v>31</v>
      </c>
      <c r="D175" s="0" t="s">
        <v>132</v>
      </c>
      <c r="E175" s="0" t="s">
        <v>1311</v>
      </c>
      <c r="F175" s="0" t="s">
        <v>1312</v>
      </c>
      <c r="G175" s="0" t="s">
        <v>1313</v>
      </c>
    </row>
    <row r="176" customFormat="false" ht="15" hidden="false" customHeight="false" outlineLevel="0" collapsed="false">
      <c r="A176" s="0" t="s">
        <v>604</v>
      </c>
      <c r="B176" s="0" t="s">
        <v>603</v>
      </c>
      <c r="C176" s="0" t="s">
        <v>31</v>
      </c>
      <c r="D176" s="0" t="s">
        <v>132</v>
      </c>
      <c r="E176" s="0" t="s">
        <v>1311</v>
      </c>
      <c r="F176" s="0" t="s">
        <v>1312</v>
      </c>
      <c r="G176" s="0" t="s">
        <v>1313</v>
      </c>
    </row>
    <row r="177" customFormat="false" ht="15" hidden="false" customHeight="false" outlineLevel="0" collapsed="false">
      <c r="A177" s="0" t="s">
        <v>412</v>
      </c>
      <c r="B177" s="0" t="s">
        <v>411</v>
      </c>
      <c r="C177" s="0" t="s">
        <v>31</v>
      </c>
      <c r="D177" s="0" t="s">
        <v>132</v>
      </c>
      <c r="E177" s="0" t="s">
        <v>1311</v>
      </c>
      <c r="F177" s="0" t="s">
        <v>1312</v>
      </c>
      <c r="G177" s="0" t="s">
        <v>1313</v>
      </c>
    </row>
    <row r="178" customFormat="false" ht="15" hidden="false" customHeight="false" outlineLevel="0" collapsed="false">
      <c r="A178" s="0" t="s">
        <v>731</v>
      </c>
      <c r="B178" s="0" t="s">
        <v>730</v>
      </c>
      <c r="C178" s="0" t="s">
        <v>31</v>
      </c>
      <c r="D178" s="0" t="s">
        <v>132</v>
      </c>
      <c r="E178" s="0" t="s">
        <v>1311</v>
      </c>
      <c r="F178" s="0" t="s">
        <v>1312</v>
      </c>
      <c r="G178" s="0" t="s">
        <v>1313</v>
      </c>
    </row>
    <row r="179" customFormat="false" ht="15" hidden="false" customHeight="false" outlineLevel="0" collapsed="false">
      <c r="A179" s="0" t="s">
        <v>1118</v>
      </c>
      <c r="B179" s="0" t="s">
        <v>1117</v>
      </c>
      <c r="C179" s="0" t="s">
        <v>132</v>
      </c>
      <c r="D179" s="0" t="s">
        <v>1311</v>
      </c>
      <c r="E179" s="0" t="s">
        <v>1312</v>
      </c>
      <c r="F179" s="0" t="s">
        <v>1313</v>
      </c>
      <c r="G179" s="0" t="s">
        <v>1314</v>
      </c>
      <c r="H179" s="0" t="s">
        <v>1290</v>
      </c>
    </row>
    <row r="180" customFormat="false" ht="15" hidden="false" customHeight="false" outlineLevel="0" collapsed="false">
      <c r="A180" s="0" t="s">
        <v>1144</v>
      </c>
      <c r="B180" s="0" t="s">
        <v>1143</v>
      </c>
      <c r="C180" s="0" t="s">
        <v>132</v>
      </c>
      <c r="D180" s="0" t="s">
        <v>1311</v>
      </c>
      <c r="E180" s="0" t="s">
        <v>1312</v>
      </c>
      <c r="F180" s="0" t="s">
        <v>1313</v>
      </c>
      <c r="G180" s="0" t="s">
        <v>1314</v>
      </c>
      <c r="H180" s="0" t="s">
        <v>1290</v>
      </c>
    </row>
    <row r="181" customFormat="false" ht="15" hidden="false" customHeight="false" outlineLevel="0" collapsed="false">
      <c r="A181" s="0" t="s">
        <v>1158</v>
      </c>
      <c r="B181" s="0" t="s">
        <v>1157</v>
      </c>
      <c r="C181" s="0" t="s">
        <v>31</v>
      </c>
      <c r="D181" s="0" t="s">
        <v>132</v>
      </c>
      <c r="E181" s="0" t="s">
        <v>1311</v>
      </c>
      <c r="F181" s="0" t="s">
        <v>1312</v>
      </c>
      <c r="G181" s="0" t="s">
        <v>1313</v>
      </c>
    </row>
    <row r="182" customFormat="false" ht="15" hidden="false" customHeight="false" outlineLevel="0" collapsed="false">
      <c r="A182" s="0" t="s">
        <v>907</v>
      </c>
      <c r="B182" s="0" t="s">
        <v>906</v>
      </c>
      <c r="C182" s="0" t="s">
        <v>31</v>
      </c>
      <c r="D182" s="0" t="s">
        <v>132</v>
      </c>
      <c r="E182" s="0" t="s">
        <v>1311</v>
      </c>
      <c r="F182" s="0" t="s">
        <v>1312</v>
      </c>
      <c r="G182" s="0" t="s">
        <v>1313</v>
      </c>
    </row>
    <row r="183" customFormat="false" ht="15" hidden="false" customHeight="false" outlineLevel="0" collapsed="false">
      <c r="A183" s="0" t="s">
        <v>559</v>
      </c>
      <c r="B183" s="0" t="s">
        <v>558</v>
      </c>
      <c r="C183" s="0" t="s">
        <v>38</v>
      </c>
      <c r="D183" s="0" t="s">
        <v>494</v>
      </c>
      <c r="E183" s="0" t="s">
        <v>1308</v>
      </c>
      <c r="F183" s="0" t="s">
        <v>1309</v>
      </c>
      <c r="G183" s="0" t="s">
        <v>1310</v>
      </c>
    </row>
    <row r="184" customFormat="false" ht="15" hidden="false" customHeight="false" outlineLevel="0" collapsed="false">
      <c r="A184" s="0" t="s">
        <v>739</v>
      </c>
      <c r="B184" s="0" t="s">
        <v>738</v>
      </c>
      <c r="C184" s="0" t="s">
        <v>132</v>
      </c>
      <c r="D184" s="0" t="s">
        <v>1311</v>
      </c>
      <c r="E184" s="0" t="s">
        <v>1312</v>
      </c>
      <c r="F184" s="0" t="s">
        <v>1313</v>
      </c>
      <c r="G184" s="0" t="s">
        <v>1314</v>
      </c>
      <c r="H184" s="0" t="s">
        <v>1290</v>
      </c>
    </row>
    <row r="185" customFormat="false" ht="15" hidden="false" customHeight="false" outlineLevel="0" collapsed="false">
      <c r="A185" s="0" t="s">
        <v>979</v>
      </c>
      <c r="B185" s="0" t="s">
        <v>978</v>
      </c>
      <c r="C185" s="0" t="s">
        <v>31</v>
      </c>
      <c r="D185" s="0" t="s">
        <v>132</v>
      </c>
      <c r="E185" s="0" t="s">
        <v>1311</v>
      </c>
      <c r="F185" s="0" t="s">
        <v>1312</v>
      </c>
      <c r="G185" s="0" t="s">
        <v>1313</v>
      </c>
    </row>
    <row r="186" customFormat="false" ht="15" hidden="false" customHeight="false" outlineLevel="0" collapsed="false">
      <c r="A186" s="0" t="s">
        <v>293</v>
      </c>
      <c r="B186" s="0" t="s">
        <v>292</v>
      </c>
      <c r="C186" s="0" t="s">
        <v>31</v>
      </c>
      <c r="D186" s="0" t="s">
        <v>132</v>
      </c>
      <c r="E186" s="0" t="s">
        <v>1311</v>
      </c>
      <c r="F186" s="0" t="s">
        <v>1312</v>
      </c>
      <c r="G186" s="0" t="s">
        <v>1313</v>
      </c>
    </row>
    <row r="187" customFormat="false" ht="15" hidden="false" customHeight="false" outlineLevel="0" collapsed="false">
      <c r="A187" s="0" t="s">
        <v>1150</v>
      </c>
      <c r="B187" s="0" t="s">
        <v>1149</v>
      </c>
      <c r="C187" s="0" t="s">
        <v>31</v>
      </c>
      <c r="D187" s="0" t="s">
        <v>132</v>
      </c>
      <c r="E187" s="0" t="s">
        <v>1311</v>
      </c>
      <c r="F187" s="0" t="s">
        <v>1312</v>
      </c>
      <c r="G187" s="0" t="s">
        <v>1313</v>
      </c>
    </row>
    <row r="188" customFormat="false" ht="15" hidden="false" customHeight="false" outlineLevel="0" collapsed="false">
      <c r="A188" s="0" t="s">
        <v>1104</v>
      </c>
      <c r="B188" s="0" t="s">
        <v>1103</v>
      </c>
      <c r="C188" s="0" t="s">
        <v>31</v>
      </c>
      <c r="D188" s="0" t="s">
        <v>132</v>
      </c>
      <c r="E188" s="0" t="s">
        <v>1311</v>
      </c>
      <c r="F188" s="0" t="s">
        <v>1312</v>
      </c>
      <c r="G188" s="0" t="s">
        <v>1313</v>
      </c>
    </row>
    <row r="189" customFormat="false" ht="15" hidden="false" customHeight="false" outlineLevel="0" collapsed="false">
      <c r="A189" s="0" t="s">
        <v>514</v>
      </c>
      <c r="B189" s="0" t="s">
        <v>513</v>
      </c>
      <c r="C189" s="0" t="s">
        <v>31</v>
      </c>
      <c r="D189" s="0" t="s">
        <v>132</v>
      </c>
      <c r="E189" s="0" t="s">
        <v>1311</v>
      </c>
      <c r="F189" s="0" t="s">
        <v>1312</v>
      </c>
      <c r="G189" s="0" t="s">
        <v>1313</v>
      </c>
    </row>
    <row r="190" customFormat="false" ht="15" hidden="false" customHeight="false" outlineLevel="0" collapsed="false">
      <c r="A190" s="0" t="s">
        <v>385</v>
      </c>
      <c r="B190" s="0" t="s">
        <v>384</v>
      </c>
      <c r="C190" s="0" t="s">
        <v>31</v>
      </c>
      <c r="D190" s="0" t="s">
        <v>132</v>
      </c>
      <c r="E190" s="0" t="s">
        <v>1311</v>
      </c>
      <c r="F190" s="0" t="s">
        <v>1312</v>
      </c>
      <c r="G190" s="0" t="s">
        <v>1313</v>
      </c>
    </row>
    <row r="191" customFormat="false" ht="15" hidden="false" customHeight="false" outlineLevel="0" collapsed="false">
      <c r="A191" s="0" t="s">
        <v>1136</v>
      </c>
      <c r="B191" s="0" t="s">
        <v>1135</v>
      </c>
      <c r="C191" s="0" t="s">
        <v>31</v>
      </c>
      <c r="D191" s="0" t="s">
        <v>132</v>
      </c>
      <c r="E191" s="0" t="s">
        <v>1311</v>
      </c>
      <c r="F191" s="0" t="s">
        <v>1312</v>
      </c>
      <c r="G191" s="0" t="s">
        <v>1313</v>
      </c>
    </row>
    <row r="192" customFormat="false" ht="15" hidden="false" customHeight="false" outlineLevel="0" collapsed="false">
      <c r="A192" s="0" t="s">
        <v>785</v>
      </c>
      <c r="B192" s="0" t="s">
        <v>784</v>
      </c>
      <c r="C192" s="0" t="s">
        <v>31</v>
      </c>
      <c r="D192" s="0" t="s">
        <v>132</v>
      </c>
      <c r="E192" s="0" t="s">
        <v>1311</v>
      </c>
      <c r="F192" s="0" t="s">
        <v>1312</v>
      </c>
      <c r="G192" s="0" t="s">
        <v>1313</v>
      </c>
    </row>
    <row r="193" customFormat="false" ht="15" hidden="false" customHeight="false" outlineLevel="0" collapsed="false">
      <c r="A193" s="0" t="s">
        <v>761</v>
      </c>
      <c r="B193" s="0" t="s">
        <v>760</v>
      </c>
      <c r="C193" s="0" t="s">
        <v>31</v>
      </c>
      <c r="D193" s="0" t="s">
        <v>132</v>
      </c>
      <c r="E193" s="0" t="s">
        <v>1311</v>
      </c>
      <c r="F193" s="0" t="s">
        <v>1312</v>
      </c>
      <c r="G193" s="0" t="s">
        <v>1313</v>
      </c>
    </row>
    <row r="194" customFormat="false" ht="15" hidden="false" customHeight="false" outlineLevel="0" collapsed="false">
      <c r="A194" s="0" t="s">
        <v>584</v>
      </c>
      <c r="B194" s="0" t="s">
        <v>583</v>
      </c>
      <c r="C194" s="0" t="s">
        <v>31</v>
      </c>
      <c r="D194" s="0" t="s">
        <v>132</v>
      </c>
      <c r="E194" s="0" t="s">
        <v>1311</v>
      </c>
      <c r="F194" s="0" t="s">
        <v>1312</v>
      </c>
      <c r="G194" s="0" t="s">
        <v>1313</v>
      </c>
    </row>
    <row r="195" customFormat="false" ht="15" hidden="false" customHeight="false" outlineLevel="0" collapsed="false">
      <c r="A195" s="0" t="s">
        <v>56</v>
      </c>
      <c r="B195" s="0" t="s">
        <v>55</v>
      </c>
      <c r="C195" s="0" t="s">
        <v>31</v>
      </c>
      <c r="D195" s="0" t="s">
        <v>132</v>
      </c>
      <c r="E195" s="0" t="s">
        <v>1311</v>
      </c>
      <c r="F195" s="0" t="s">
        <v>1312</v>
      </c>
      <c r="G195" s="0" t="s">
        <v>1313</v>
      </c>
    </row>
    <row r="196" customFormat="false" ht="15" hidden="false" customHeight="false" outlineLevel="0" collapsed="false">
      <c r="A196" s="0" t="s">
        <v>1208</v>
      </c>
      <c r="B196" s="0" t="s">
        <v>1207</v>
      </c>
      <c r="C196" s="0" t="s">
        <v>31</v>
      </c>
      <c r="D196" s="0" t="s">
        <v>132</v>
      </c>
      <c r="E196" s="0" t="s">
        <v>1311</v>
      </c>
      <c r="F196" s="0" t="s">
        <v>1312</v>
      </c>
      <c r="G196" s="0" t="s">
        <v>1313</v>
      </c>
    </row>
    <row r="197" customFormat="false" ht="15" hidden="false" customHeight="false" outlineLevel="0" collapsed="false">
      <c r="A197" s="0" t="s">
        <v>1110</v>
      </c>
      <c r="B197" s="0" t="s">
        <v>1109</v>
      </c>
      <c r="C197" s="0" t="s">
        <v>38</v>
      </c>
      <c r="D197" s="0" t="s">
        <v>494</v>
      </c>
      <c r="E197" s="0" t="s">
        <v>1308</v>
      </c>
      <c r="F197" s="0" t="s">
        <v>1309</v>
      </c>
      <c r="G197" s="0" t="s">
        <v>1310</v>
      </c>
    </row>
    <row r="198" customFormat="false" ht="15" hidden="false" customHeight="false" outlineLevel="0" collapsed="false">
      <c r="A198" s="0" t="s">
        <v>231</v>
      </c>
      <c r="B198" s="0" t="s">
        <v>230</v>
      </c>
      <c r="C198" s="0" t="s">
        <v>31</v>
      </c>
      <c r="D198" s="0" t="s">
        <v>132</v>
      </c>
      <c r="E198" s="0" t="s">
        <v>1311</v>
      </c>
      <c r="F198" s="0" t="s">
        <v>1312</v>
      </c>
      <c r="G198" s="0" t="s">
        <v>1313</v>
      </c>
    </row>
    <row r="199" customFormat="false" ht="15" hidden="false" customHeight="false" outlineLevel="0" collapsed="false">
      <c r="A199" s="0" t="s">
        <v>971</v>
      </c>
      <c r="B199" s="0" t="s">
        <v>970</v>
      </c>
      <c r="C199" s="0" t="s">
        <v>31</v>
      </c>
      <c r="D199" s="0" t="s">
        <v>132</v>
      </c>
      <c r="E199" s="0" t="s">
        <v>1311</v>
      </c>
      <c r="F199" s="0" t="s">
        <v>1312</v>
      </c>
      <c r="G199" s="0" t="s">
        <v>1313</v>
      </c>
    </row>
    <row r="200" customFormat="false" ht="15" hidden="false" customHeight="false" outlineLevel="0" collapsed="false">
      <c r="A200" s="0" t="s">
        <v>737</v>
      </c>
      <c r="B200" s="0" t="s">
        <v>736</v>
      </c>
      <c r="C200" s="0" t="s">
        <v>65</v>
      </c>
      <c r="D200" s="0" t="s">
        <v>1315</v>
      </c>
      <c r="E200" s="0" t="s">
        <v>1213</v>
      </c>
      <c r="F200" s="0" t="s">
        <v>1316</v>
      </c>
      <c r="G200" s="0" t="s">
        <v>1317</v>
      </c>
    </row>
    <row r="201" customFormat="false" ht="15" hidden="false" customHeight="false" outlineLevel="0" collapsed="false">
      <c r="A201" s="0" t="s">
        <v>614</v>
      </c>
      <c r="B201" s="0" t="s">
        <v>613</v>
      </c>
      <c r="C201" s="0" t="s">
        <v>31</v>
      </c>
      <c r="D201" s="0" t="s">
        <v>132</v>
      </c>
      <c r="E201" s="0" t="s">
        <v>1311</v>
      </c>
      <c r="F201" s="0" t="s">
        <v>1312</v>
      </c>
      <c r="G201" s="0" t="s">
        <v>1313</v>
      </c>
    </row>
    <row r="202" customFormat="false" ht="15" hidden="false" customHeight="false" outlineLevel="0" collapsed="false">
      <c r="A202" s="0" t="s">
        <v>493</v>
      </c>
      <c r="B202" s="0" t="s">
        <v>492</v>
      </c>
      <c r="C202" s="0" t="s">
        <v>494</v>
      </c>
      <c r="D202" s="0" t="s">
        <v>1308</v>
      </c>
      <c r="E202" s="0" t="s">
        <v>1309</v>
      </c>
      <c r="F202" s="0" t="s">
        <v>1310</v>
      </c>
      <c r="G202" s="0" t="s">
        <v>1318</v>
      </c>
      <c r="H202" s="0" t="s">
        <v>1294</v>
      </c>
    </row>
    <row r="203" customFormat="false" ht="15" hidden="false" customHeight="false" outlineLevel="0" collapsed="false">
      <c r="A203" s="0" t="s">
        <v>1134</v>
      </c>
      <c r="B203" s="0" t="s">
        <v>1133</v>
      </c>
      <c r="C203" s="0" t="s">
        <v>132</v>
      </c>
      <c r="D203" s="0" t="s">
        <v>1311</v>
      </c>
      <c r="E203" s="0" t="s">
        <v>1312</v>
      </c>
      <c r="F203" s="0" t="s">
        <v>1313</v>
      </c>
      <c r="G203" s="0" t="s">
        <v>1314</v>
      </c>
      <c r="H203" s="0" t="s">
        <v>1290</v>
      </c>
    </row>
    <row r="204" customFormat="false" ht="15" hidden="false" customHeight="false" outlineLevel="0" collapsed="false">
      <c r="A204" s="0" t="s">
        <v>102</v>
      </c>
      <c r="B204" s="0" t="s">
        <v>101</v>
      </c>
      <c r="C204" s="0" t="s">
        <v>31</v>
      </c>
      <c r="D204" s="0" t="s">
        <v>132</v>
      </c>
      <c r="E204" s="0" t="s">
        <v>1311</v>
      </c>
      <c r="F204" s="0" t="s">
        <v>1312</v>
      </c>
      <c r="G204" s="0" t="s">
        <v>1313</v>
      </c>
    </row>
    <row r="205" customFormat="false" ht="15" hidden="false" customHeight="false" outlineLevel="0" collapsed="false">
      <c r="A205" s="0" t="s">
        <v>540</v>
      </c>
      <c r="B205" s="0" t="s">
        <v>539</v>
      </c>
      <c r="C205" s="0" t="s">
        <v>31</v>
      </c>
      <c r="D205" s="0" t="s">
        <v>132</v>
      </c>
      <c r="E205" s="0" t="s">
        <v>1311</v>
      </c>
      <c r="F205" s="0" t="s">
        <v>1312</v>
      </c>
      <c r="G205" s="0" t="s">
        <v>1313</v>
      </c>
    </row>
    <row r="206" customFormat="false" ht="15" hidden="false" customHeight="false" outlineLevel="0" collapsed="false">
      <c r="A206" s="0" t="s">
        <v>751</v>
      </c>
      <c r="B206" s="0" t="s">
        <v>750</v>
      </c>
      <c r="C206" s="0" t="s">
        <v>38</v>
      </c>
      <c r="D206" s="0" t="s">
        <v>494</v>
      </c>
      <c r="E206" s="0" t="s">
        <v>1308</v>
      </c>
      <c r="F206" s="0" t="s">
        <v>1309</v>
      </c>
      <c r="G206" s="0" t="s">
        <v>1310</v>
      </c>
    </row>
    <row r="207" customFormat="false" ht="15" hidden="false" customHeight="false" outlineLevel="0" collapsed="false">
      <c r="A207" s="0" t="s">
        <v>526</v>
      </c>
      <c r="B207" s="0" t="s">
        <v>525</v>
      </c>
      <c r="C207" s="0" t="s">
        <v>38</v>
      </c>
      <c r="D207" s="0" t="s">
        <v>494</v>
      </c>
      <c r="E207" s="0" t="s">
        <v>1308</v>
      </c>
      <c r="F207" s="0" t="s">
        <v>1309</v>
      </c>
      <c r="G207" s="0" t="s">
        <v>1310</v>
      </c>
    </row>
    <row r="208" customFormat="false" ht="15" hidden="false" customHeight="false" outlineLevel="0" collapsed="false">
      <c r="A208" s="0" t="s">
        <v>509</v>
      </c>
      <c r="B208" s="0" t="s">
        <v>508</v>
      </c>
      <c r="C208" s="0" t="s">
        <v>38</v>
      </c>
      <c r="D208" s="0" t="s">
        <v>494</v>
      </c>
      <c r="E208" s="0" t="s">
        <v>1308</v>
      </c>
      <c r="F208" s="0" t="s">
        <v>1309</v>
      </c>
      <c r="G208" s="0" t="s">
        <v>1310</v>
      </c>
    </row>
    <row r="209" customFormat="false" ht="15" hidden="false" customHeight="false" outlineLevel="0" collapsed="false">
      <c r="A209" s="0" t="s">
        <v>636</v>
      </c>
      <c r="B209" s="0" t="s">
        <v>635</v>
      </c>
      <c r="C209" s="0" t="s">
        <v>31</v>
      </c>
      <c r="D209" s="0" t="s">
        <v>132</v>
      </c>
      <c r="E209" s="0" t="s">
        <v>1311</v>
      </c>
      <c r="F209" s="0" t="s">
        <v>1312</v>
      </c>
      <c r="G209" s="0" t="s">
        <v>1313</v>
      </c>
    </row>
    <row r="210" customFormat="false" ht="15" hidden="false" customHeight="false" outlineLevel="0" collapsed="false">
      <c r="A210" s="0" t="s">
        <v>371</v>
      </c>
      <c r="B210" s="0" t="s">
        <v>370</v>
      </c>
      <c r="C210" s="0" t="s">
        <v>31</v>
      </c>
      <c r="D210" s="0" t="s">
        <v>132</v>
      </c>
      <c r="E210" s="0" t="s">
        <v>1311</v>
      </c>
      <c r="F210" s="0" t="s">
        <v>1312</v>
      </c>
      <c r="G210" s="0" t="s">
        <v>1313</v>
      </c>
    </row>
    <row r="211" customFormat="false" ht="15" hidden="false" customHeight="false" outlineLevel="0" collapsed="false">
      <c r="A211" s="0" t="s">
        <v>817</v>
      </c>
      <c r="B211" s="0" t="s">
        <v>816</v>
      </c>
      <c r="C211" s="0" t="s">
        <v>65</v>
      </c>
      <c r="D211" s="0" t="s">
        <v>1315</v>
      </c>
      <c r="E211" s="0" t="s">
        <v>1213</v>
      </c>
      <c r="F211" s="0" t="s">
        <v>1316</v>
      </c>
      <c r="G211" s="0" t="s">
        <v>1317</v>
      </c>
    </row>
    <row r="212" customFormat="false" ht="15" hidden="false" customHeight="false" outlineLevel="0" collapsed="false">
      <c r="A212" s="0" t="s">
        <v>1007</v>
      </c>
      <c r="B212" s="0" t="s">
        <v>1006</v>
      </c>
      <c r="C212" s="0" t="s">
        <v>31</v>
      </c>
      <c r="D212" s="0" t="s">
        <v>132</v>
      </c>
      <c r="E212" s="0" t="s">
        <v>1311</v>
      </c>
      <c r="F212" s="0" t="s">
        <v>1312</v>
      </c>
      <c r="G212" s="0" t="s">
        <v>1313</v>
      </c>
    </row>
    <row r="213" customFormat="false" ht="15" hidden="false" customHeight="false" outlineLevel="0" collapsed="false">
      <c r="A213" s="0" t="s">
        <v>186</v>
      </c>
      <c r="B213" s="0" t="s">
        <v>185</v>
      </c>
      <c r="C213" s="0" t="s">
        <v>132</v>
      </c>
      <c r="D213" s="0" t="s">
        <v>1311</v>
      </c>
      <c r="E213" s="0" t="s">
        <v>1312</v>
      </c>
      <c r="F213" s="0" t="s">
        <v>1313</v>
      </c>
      <c r="G213" s="0" t="s">
        <v>1314</v>
      </c>
      <c r="H213" s="0" t="s">
        <v>1290</v>
      </c>
    </row>
    <row r="214" customFormat="false" ht="15" hidden="false" customHeight="false" outlineLevel="0" collapsed="false">
      <c r="A214" s="0" t="s">
        <v>326</v>
      </c>
      <c r="B214" s="0" t="s">
        <v>325</v>
      </c>
      <c r="C214" s="0" t="s">
        <v>31</v>
      </c>
      <c r="D214" s="0" t="s">
        <v>132</v>
      </c>
      <c r="E214" s="0" t="s">
        <v>1311</v>
      </c>
      <c r="F214" s="0" t="s">
        <v>1312</v>
      </c>
      <c r="G214" s="0" t="s">
        <v>1313</v>
      </c>
    </row>
    <row r="215" customFormat="false" ht="15" hidden="false" customHeight="false" outlineLevel="0" collapsed="false">
      <c r="A215" s="0" t="s">
        <v>877</v>
      </c>
      <c r="B215" s="0" t="s">
        <v>876</v>
      </c>
      <c r="C215" s="0" t="s">
        <v>31</v>
      </c>
      <c r="D215" s="0" t="s">
        <v>132</v>
      </c>
      <c r="E215" s="0" t="s">
        <v>1311</v>
      </c>
      <c r="F215" s="0" t="s">
        <v>1312</v>
      </c>
      <c r="G215" s="0" t="s">
        <v>1313</v>
      </c>
    </row>
    <row r="216" customFormat="false" ht="15" hidden="false" customHeight="false" outlineLevel="0" collapsed="false">
      <c r="A216" s="0" t="s">
        <v>113</v>
      </c>
      <c r="B216" s="0" t="s">
        <v>112</v>
      </c>
      <c r="C216" s="0" t="s">
        <v>31</v>
      </c>
      <c r="D216" s="0" t="s">
        <v>132</v>
      </c>
      <c r="E216" s="0" t="s">
        <v>1311</v>
      </c>
      <c r="F216" s="0" t="s">
        <v>1312</v>
      </c>
      <c r="G216" s="0" t="s">
        <v>1313</v>
      </c>
    </row>
    <row r="217" customFormat="false" ht="15" hidden="false" customHeight="false" outlineLevel="0" collapsed="false">
      <c r="A217" s="0" t="s">
        <v>646</v>
      </c>
      <c r="B217" s="0" t="s">
        <v>645</v>
      </c>
      <c r="C217" s="0" t="s">
        <v>31</v>
      </c>
      <c r="D217" s="0" t="s">
        <v>132</v>
      </c>
      <c r="E217" s="0" t="s">
        <v>1311</v>
      </c>
      <c r="F217" s="0" t="s">
        <v>1312</v>
      </c>
      <c r="G217" s="0" t="s">
        <v>1313</v>
      </c>
    </row>
    <row r="218" customFormat="false" ht="15" hidden="false" customHeight="false" outlineLevel="0" collapsed="false">
      <c r="A218" s="0" t="s">
        <v>192</v>
      </c>
      <c r="B218" s="0" t="s">
        <v>191</v>
      </c>
      <c r="C218" s="0" t="s">
        <v>31</v>
      </c>
      <c r="D218" s="0" t="s">
        <v>132</v>
      </c>
      <c r="E218" s="0" t="s">
        <v>1311</v>
      </c>
      <c r="F218" s="0" t="s">
        <v>1312</v>
      </c>
      <c r="G218" s="0" t="s">
        <v>1313</v>
      </c>
    </row>
    <row r="219" customFormat="false" ht="15" hidden="false" customHeight="false" outlineLevel="0" collapsed="false">
      <c r="A219" s="0" t="s">
        <v>481</v>
      </c>
      <c r="B219" s="0" t="s">
        <v>480</v>
      </c>
      <c r="C219" s="0" t="s">
        <v>31</v>
      </c>
      <c r="D219" s="0" t="s">
        <v>132</v>
      </c>
      <c r="E219" s="0" t="s">
        <v>1311</v>
      </c>
      <c r="F219" s="0" t="s">
        <v>1312</v>
      </c>
      <c r="G219" s="0" t="s">
        <v>1313</v>
      </c>
    </row>
    <row r="220" customFormat="false" ht="15" hidden="false" customHeight="false" outlineLevel="0" collapsed="false">
      <c r="A220" s="0" t="s">
        <v>1033</v>
      </c>
      <c r="B220" s="0" t="s">
        <v>1032</v>
      </c>
      <c r="C220" s="0" t="s">
        <v>31</v>
      </c>
      <c r="D220" s="0" t="s">
        <v>132</v>
      </c>
      <c r="E220" s="0" t="s">
        <v>1311</v>
      </c>
      <c r="F220" s="0" t="s">
        <v>1312</v>
      </c>
      <c r="G220" s="0" t="s">
        <v>1313</v>
      </c>
    </row>
    <row r="221" customFormat="false" ht="15" hidden="false" customHeight="false" outlineLevel="0" collapsed="false">
      <c r="A221" s="0" t="s">
        <v>424</v>
      </c>
      <c r="B221" s="0" t="s">
        <v>423</v>
      </c>
      <c r="C221" s="0" t="s">
        <v>31</v>
      </c>
      <c r="D221" s="0" t="s">
        <v>132</v>
      </c>
      <c r="E221" s="0" t="s">
        <v>1311</v>
      </c>
      <c r="F221" s="0" t="s">
        <v>1312</v>
      </c>
      <c r="G221" s="0" t="s">
        <v>1313</v>
      </c>
    </row>
    <row r="222" customFormat="false" ht="15" hidden="false" customHeight="false" outlineLevel="0" collapsed="false">
      <c r="A222" s="0" t="s">
        <v>985</v>
      </c>
      <c r="B222" s="0" t="s">
        <v>984</v>
      </c>
      <c r="C222" s="0" t="s">
        <v>38</v>
      </c>
      <c r="D222" s="0" t="s">
        <v>494</v>
      </c>
      <c r="E222" s="0" t="s">
        <v>1308</v>
      </c>
      <c r="F222" s="0" t="s">
        <v>1309</v>
      </c>
      <c r="G222" s="0" t="s">
        <v>1310</v>
      </c>
    </row>
    <row r="223" customFormat="false" ht="15" hidden="false" customHeight="false" outlineLevel="0" collapsed="false">
      <c r="A223" s="0" t="s">
        <v>947</v>
      </c>
      <c r="B223" s="0" t="s">
        <v>946</v>
      </c>
      <c r="C223" s="0" t="s">
        <v>31</v>
      </c>
      <c r="D223" s="0" t="s">
        <v>132</v>
      </c>
      <c r="E223" s="0" t="s">
        <v>1311</v>
      </c>
      <c r="F223" s="0" t="s">
        <v>1312</v>
      </c>
      <c r="G223" s="0" t="s">
        <v>1313</v>
      </c>
    </row>
    <row r="224" customFormat="false" ht="15" hidden="false" customHeight="false" outlineLevel="0" collapsed="false">
      <c r="A224" s="0" t="s">
        <v>551</v>
      </c>
      <c r="B224" s="0" t="s">
        <v>550</v>
      </c>
      <c r="C224" s="0" t="s">
        <v>38</v>
      </c>
      <c r="D224" s="0" t="s">
        <v>494</v>
      </c>
      <c r="E224" s="0" t="s">
        <v>1308</v>
      </c>
      <c r="F224" s="0" t="s">
        <v>1309</v>
      </c>
      <c r="G224" s="0" t="s">
        <v>1310</v>
      </c>
    </row>
    <row r="225" customFormat="false" ht="15" hidden="false" customHeight="false" outlineLevel="0" collapsed="false">
      <c r="A225" s="0" t="s">
        <v>965</v>
      </c>
      <c r="B225" s="0" t="s">
        <v>964</v>
      </c>
      <c r="C225" s="0" t="s">
        <v>38</v>
      </c>
      <c r="D225" s="0" t="s">
        <v>494</v>
      </c>
      <c r="E225" s="0" t="s">
        <v>1308</v>
      </c>
      <c r="F225" s="0" t="s">
        <v>1309</v>
      </c>
      <c r="G225" s="0" t="s">
        <v>1310</v>
      </c>
    </row>
    <row r="226" customFormat="false" ht="15" hidden="false" customHeight="false" outlineLevel="0" collapsed="false">
      <c r="A226" s="0" t="s">
        <v>775</v>
      </c>
      <c r="B226" s="0" t="s">
        <v>774</v>
      </c>
      <c r="C226" s="0" t="s">
        <v>31</v>
      </c>
      <c r="D226" s="0" t="s">
        <v>132</v>
      </c>
      <c r="E226" s="0" t="s">
        <v>1311</v>
      </c>
      <c r="F226" s="0" t="s">
        <v>1312</v>
      </c>
      <c r="G226" s="0" t="s">
        <v>1313</v>
      </c>
    </row>
    <row r="227" customFormat="false" ht="15" hidden="false" customHeight="false" outlineLevel="0" collapsed="false">
      <c r="A227" s="0" t="s">
        <v>222</v>
      </c>
      <c r="B227" s="0" t="s">
        <v>221</v>
      </c>
      <c r="C227" s="0" t="s">
        <v>31</v>
      </c>
      <c r="D227" s="0" t="s">
        <v>132</v>
      </c>
      <c r="E227" s="0" t="s">
        <v>1311</v>
      </c>
      <c r="F227" s="0" t="s">
        <v>1312</v>
      </c>
      <c r="G227" s="0" t="s">
        <v>1313</v>
      </c>
    </row>
    <row r="228" customFormat="false" ht="15" hidden="false" customHeight="false" outlineLevel="0" collapsed="false">
      <c r="A228" s="0" t="s">
        <v>951</v>
      </c>
      <c r="B228" s="0" t="s">
        <v>950</v>
      </c>
      <c r="C228" s="0" t="s">
        <v>31</v>
      </c>
      <c r="D228" s="0" t="s">
        <v>132</v>
      </c>
      <c r="E228" s="0" t="s">
        <v>1311</v>
      </c>
      <c r="F228" s="0" t="s">
        <v>1312</v>
      </c>
      <c r="G228" s="0" t="s">
        <v>1313</v>
      </c>
    </row>
    <row r="229" customFormat="false" ht="15" hidden="false" customHeight="false" outlineLevel="0" collapsed="false">
      <c r="A229" s="0" t="s">
        <v>899</v>
      </c>
      <c r="B229" s="0" t="s">
        <v>898</v>
      </c>
      <c r="C229" s="0" t="s">
        <v>31</v>
      </c>
      <c r="D229" s="0" t="s">
        <v>132</v>
      </c>
      <c r="E229" s="0" t="s">
        <v>1311</v>
      </c>
      <c r="F229" s="0" t="s">
        <v>1312</v>
      </c>
      <c r="G229" s="0" t="s">
        <v>1313</v>
      </c>
    </row>
    <row r="230" customFormat="false" ht="15" hidden="false" customHeight="false" outlineLevel="0" collapsed="false">
      <c r="A230" s="0" t="s">
        <v>660</v>
      </c>
      <c r="B230" s="0" t="s">
        <v>659</v>
      </c>
      <c r="C230" s="0" t="s">
        <v>132</v>
      </c>
      <c r="D230" s="0" t="s">
        <v>1311</v>
      </c>
      <c r="E230" s="0" t="s">
        <v>1312</v>
      </c>
      <c r="F230" s="0" t="s">
        <v>1313</v>
      </c>
      <c r="G230" s="0" t="s">
        <v>1314</v>
      </c>
      <c r="H230" s="0" t="s">
        <v>1290</v>
      </c>
    </row>
    <row r="231" customFormat="false" ht="15" hidden="false" customHeight="false" outlineLevel="0" collapsed="false">
      <c r="A231" s="0" t="s">
        <v>891</v>
      </c>
      <c r="B231" s="0" t="s">
        <v>890</v>
      </c>
      <c r="C231" s="0" t="s">
        <v>38</v>
      </c>
      <c r="D231" s="0" t="s">
        <v>494</v>
      </c>
      <c r="E231" s="0" t="s">
        <v>1308</v>
      </c>
      <c r="F231" s="0" t="s">
        <v>1309</v>
      </c>
      <c r="G231" s="0" t="s">
        <v>1310</v>
      </c>
    </row>
    <row r="232" customFormat="false" ht="15" hidden="false" customHeight="false" outlineLevel="0" collapsed="false">
      <c r="A232" s="0" t="s">
        <v>741</v>
      </c>
      <c r="B232" s="0" t="s">
        <v>740</v>
      </c>
      <c r="C232" s="0" t="s">
        <v>31</v>
      </c>
      <c r="D232" s="0" t="s">
        <v>132</v>
      </c>
      <c r="E232" s="0" t="s">
        <v>1311</v>
      </c>
      <c r="F232" s="0" t="s">
        <v>1312</v>
      </c>
      <c r="G232" s="0" t="s">
        <v>1313</v>
      </c>
    </row>
    <row r="233" customFormat="false" ht="15" hidden="false" customHeight="false" outlineLevel="0" collapsed="false">
      <c r="A233" s="0" t="s">
        <v>895</v>
      </c>
      <c r="B233" s="0" t="s">
        <v>894</v>
      </c>
      <c r="C233" s="0" t="s">
        <v>31</v>
      </c>
      <c r="D233" s="0" t="s">
        <v>132</v>
      </c>
      <c r="E233" s="0" t="s">
        <v>1311</v>
      </c>
      <c r="F233" s="0" t="s">
        <v>1312</v>
      </c>
      <c r="G233" s="0" t="s">
        <v>1313</v>
      </c>
    </row>
    <row r="234" customFormat="false" ht="15" hidden="false" customHeight="false" outlineLevel="0" collapsed="false">
      <c r="A234" s="0" t="s">
        <v>210</v>
      </c>
      <c r="B234" s="0" t="s">
        <v>209</v>
      </c>
      <c r="C234" s="0" t="s">
        <v>31</v>
      </c>
      <c r="D234" s="0" t="s">
        <v>132</v>
      </c>
      <c r="E234" s="0" t="s">
        <v>1311</v>
      </c>
      <c r="F234" s="0" t="s">
        <v>1312</v>
      </c>
      <c r="G234" s="0" t="s">
        <v>1313</v>
      </c>
    </row>
    <row r="235" customFormat="false" ht="15" hidden="false" customHeight="false" outlineLevel="0" collapsed="false">
      <c r="A235" s="0" t="s">
        <v>1021</v>
      </c>
      <c r="B235" s="0" t="s">
        <v>1020</v>
      </c>
      <c r="C235" s="0" t="s">
        <v>31</v>
      </c>
      <c r="D235" s="0" t="s">
        <v>132</v>
      </c>
      <c r="E235" s="0" t="s">
        <v>1311</v>
      </c>
      <c r="F235" s="0" t="s">
        <v>1312</v>
      </c>
      <c r="G235" s="0" t="s">
        <v>1313</v>
      </c>
    </row>
    <row r="236" customFormat="false" ht="15" hidden="false" customHeight="false" outlineLevel="0" collapsed="false">
      <c r="A236" s="0" t="s">
        <v>64</v>
      </c>
      <c r="B236" s="0" t="s">
        <v>63</v>
      </c>
      <c r="C236" s="0" t="s">
        <v>65</v>
      </c>
      <c r="D236" s="0" t="s">
        <v>1315</v>
      </c>
      <c r="E236" s="0" t="s">
        <v>1213</v>
      </c>
      <c r="F236" s="0" t="s">
        <v>1316</v>
      </c>
      <c r="G236" s="0" t="s">
        <v>1317</v>
      </c>
    </row>
    <row r="237" customFormat="false" ht="15" hidden="false" customHeight="false" outlineLevel="0" collapsed="false">
      <c r="A237" s="0" t="s">
        <v>305</v>
      </c>
      <c r="B237" s="0" t="s">
        <v>304</v>
      </c>
      <c r="C237" s="0" t="s">
        <v>132</v>
      </c>
      <c r="D237" s="0" t="s">
        <v>1311</v>
      </c>
      <c r="E237" s="0" t="s">
        <v>1312</v>
      </c>
      <c r="F237" s="0" t="s">
        <v>1313</v>
      </c>
      <c r="G237" s="0" t="s">
        <v>1314</v>
      </c>
      <c r="H237" s="0" t="s">
        <v>1290</v>
      </c>
    </row>
    <row r="238" customFormat="false" ht="15" hidden="false" customHeight="false" outlineLevel="0" collapsed="false">
      <c r="A238" s="0" t="s">
        <v>1097</v>
      </c>
      <c r="B238" s="0" t="s">
        <v>1096</v>
      </c>
      <c r="C238" s="0" t="s">
        <v>31</v>
      </c>
      <c r="D238" s="0" t="s">
        <v>132</v>
      </c>
      <c r="E238" s="0" t="s">
        <v>1311</v>
      </c>
      <c r="F238" s="0" t="s">
        <v>1312</v>
      </c>
      <c r="G238" s="0" t="s">
        <v>1313</v>
      </c>
    </row>
    <row r="239" customFormat="false" ht="15" hidden="false" customHeight="false" outlineLevel="0" collapsed="false">
      <c r="A239" s="0" t="s">
        <v>967</v>
      </c>
      <c r="B239" s="0" t="s">
        <v>966</v>
      </c>
      <c r="C239" s="0" t="s">
        <v>31</v>
      </c>
      <c r="D239" s="0" t="s">
        <v>132</v>
      </c>
      <c r="E239" s="0" t="s">
        <v>1311</v>
      </c>
      <c r="F239" s="0" t="s">
        <v>1312</v>
      </c>
      <c r="G239" s="0" t="s">
        <v>1313</v>
      </c>
    </row>
    <row r="240" customFormat="false" ht="15" hidden="false" customHeight="false" outlineLevel="0" collapsed="false">
      <c r="A240" s="0" t="s">
        <v>78</v>
      </c>
      <c r="B240" s="0" t="s">
        <v>77</v>
      </c>
      <c r="C240" s="0" t="s">
        <v>31</v>
      </c>
      <c r="D240" s="0" t="s">
        <v>132</v>
      </c>
      <c r="E240" s="0" t="s">
        <v>1311</v>
      </c>
      <c r="F240" s="0" t="s">
        <v>1312</v>
      </c>
      <c r="G240" s="0" t="s">
        <v>1313</v>
      </c>
    </row>
    <row r="241" customFormat="false" ht="15" hidden="false" customHeight="false" outlineLevel="0" collapsed="false">
      <c r="A241" s="0" t="s">
        <v>712</v>
      </c>
      <c r="B241" s="0" t="s">
        <v>711</v>
      </c>
      <c r="C241" s="0" t="s">
        <v>31</v>
      </c>
      <c r="D241" s="0" t="s">
        <v>132</v>
      </c>
      <c r="E241" s="0" t="s">
        <v>1311</v>
      </c>
      <c r="F241" s="0" t="s">
        <v>1312</v>
      </c>
      <c r="G241" s="0" t="s">
        <v>1313</v>
      </c>
    </row>
    <row r="242" customFormat="false" ht="15" hidden="false" customHeight="false" outlineLevel="0" collapsed="false">
      <c r="A242" s="0" t="s">
        <v>674</v>
      </c>
      <c r="B242" s="0" t="s">
        <v>673</v>
      </c>
      <c r="C242" s="0" t="s">
        <v>31</v>
      </c>
      <c r="D242" s="0" t="s">
        <v>132</v>
      </c>
      <c r="E242" s="0" t="s">
        <v>1311</v>
      </c>
      <c r="F242" s="0" t="s">
        <v>1312</v>
      </c>
      <c r="G242" s="0" t="s">
        <v>1313</v>
      </c>
    </row>
    <row r="243" customFormat="false" ht="15" hidden="false" customHeight="false" outlineLevel="0" collapsed="false">
      <c r="A243" s="0" t="s">
        <v>1174</v>
      </c>
      <c r="B243" s="0" t="s">
        <v>1173</v>
      </c>
      <c r="C243" s="0" t="s">
        <v>31</v>
      </c>
      <c r="D243" s="0" t="s">
        <v>132</v>
      </c>
      <c r="E243" s="0" t="s">
        <v>1311</v>
      </c>
      <c r="F243" s="0" t="s">
        <v>1312</v>
      </c>
      <c r="G243" s="0" t="s">
        <v>1313</v>
      </c>
    </row>
    <row r="244" customFormat="false" ht="15" hidden="false" customHeight="false" outlineLevel="0" collapsed="false">
      <c r="A244" s="0" t="s">
        <v>797</v>
      </c>
      <c r="B244" s="0" t="s">
        <v>796</v>
      </c>
      <c r="C244" s="0" t="s">
        <v>31</v>
      </c>
      <c r="D244" s="0" t="s">
        <v>132</v>
      </c>
      <c r="E244" s="0" t="s">
        <v>1311</v>
      </c>
      <c r="F244" s="0" t="s">
        <v>1312</v>
      </c>
      <c r="G244" s="0" t="s">
        <v>1313</v>
      </c>
    </row>
    <row r="245" customFormat="false" ht="15" hidden="false" customHeight="false" outlineLevel="0" collapsed="false">
      <c r="A245" s="0" t="s">
        <v>710</v>
      </c>
      <c r="B245" s="0" t="s">
        <v>709</v>
      </c>
      <c r="C245" s="0" t="s">
        <v>31</v>
      </c>
      <c r="D245" s="0" t="s">
        <v>132</v>
      </c>
      <c r="E245" s="0" t="s">
        <v>1311</v>
      </c>
      <c r="F245" s="0" t="s">
        <v>1312</v>
      </c>
      <c r="G245" s="0" t="s">
        <v>1313</v>
      </c>
    </row>
    <row r="246" customFormat="false" ht="15" hidden="false" customHeight="false" outlineLevel="0" collapsed="false">
      <c r="A246" s="0" t="s">
        <v>767</v>
      </c>
      <c r="B246" s="0" t="s">
        <v>766</v>
      </c>
      <c r="C246" s="0" t="s">
        <v>31</v>
      </c>
      <c r="D246" s="0" t="s">
        <v>132</v>
      </c>
      <c r="E246" s="0" t="s">
        <v>1311</v>
      </c>
      <c r="F246" s="0" t="s">
        <v>1312</v>
      </c>
      <c r="G246" s="0" t="s">
        <v>1313</v>
      </c>
    </row>
    <row r="247" customFormat="false" ht="15" hidden="false" customHeight="false" outlineLevel="0" collapsed="false">
      <c r="A247" s="0" t="s">
        <v>1200</v>
      </c>
      <c r="B247" s="0" t="s">
        <v>1199</v>
      </c>
      <c r="C247" s="0" t="s">
        <v>31</v>
      </c>
      <c r="D247" s="0" t="s">
        <v>132</v>
      </c>
      <c r="E247" s="0" t="s">
        <v>1311</v>
      </c>
      <c r="F247" s="0" t="s">
        <v>1312</v>
      </c>
      <c r="G247" s="0" t="s">
        <v>1313</v>
      </c>
    </row>
    <row r="248" customFormat="false" ht="15" hidden="false" customHeight="false" outlineLevel="0" collapsed="false">
      <c r="A248" s="0" t="s">
        <v>1180</v>
      </c>
      <c r="B248" s="0" t="s">
        <v>1179</v>
      </c>
      <c r="C248" s="0" t="s">
        <v>31</v>
      </c>
      <c r="D248" s="0" t="s">
        <v>132</v>
      </c>
      <c r="E248" s="0" t="s">
        <v>1311</v>
      </c>
      <c r="F248" s="0" t="s">
        <v>1312</v>
      </c>
      <c r="G248" s="0" t="s">
        <v>1313</v>
      </c>
    </row>
    <row r="249" customFormat="false" ht="15" hidden="false" customHeight="false" outlineLevel="0" collapsed="false">
      <c r="A249" s="0" t="s">
        <v>925</v>
      </c>
      <c r="B249" s="0" t="s">
        <v>924</v>
      </c>
      <c r="C249" s="0" t="s">
        <v>31</v>
      </c>
      <c r="D249" s="0" t="s">
        <v>132</v>
      </c>
      <c r="E249" s="0" t="s">
        <v>1311</v>
      </c>
      <c r="F249" s="0" t="s">
        <v>1312</v>
      </c>
      <c r="G249" s="0" t="s">
        <v>1313</v>
      </c>
    </row>
    <row r="250" customFormat="false" ht="15" hidden="false" customHeight="false" outlineLevel="0" collapsed="false">
      <c r="A250" s="0" t="s">
        <v>1087</v>
      </c>
      <c r="B250" s="0" t="s">
        <v>1086</v>
      </c>
      <c r="C250" s="0" t="s">
        <v>31</v>
      </c>
      <c r="D250" s="0" t="s">
        <v>132</v>
      </c>
      <c r="E250" s="0" t="s">
        <v>1311</v>
      </c>
      <c r="F250" s="0" t="s">
        <v>1312</v>
      </c>
      <c r="G250" s="0" t="s">
        <v>1313</v>
      </c>
    </row>
    <row r="251" customFormat="false" ht="15" hidden="false" customHeight="false" outlineLevel="0" collapsed="false">
      <c r="A251" s="0" t="s">
        <v>430</v>
      </c>
      <c r="B251" s="0" t="s">
        <v>429</v>
      </c>
      <c r="C251" s="0" t="s">
        <v>31</v>
      </c>
      <c r="D251" s="0" t="s">
        <v>132</v>
      </c>
      <c r="E251" s="0" t="s">
        <v>1311</v>
      </c>
      <c r="F251" s="0" t="s">
        <v>1312</v>
      </c>
      <c r="G251" s="0" t="s">
        <v>1313</v>
      </c>
    </row>
    <row r="252" customFormat="false" ht="15" hidden="false" customHeight="false" outlineLevel="0" collapsed="false">
      <c r="A252" s="0" t="s">
        <v>889</v>
      </c>
      <c r="B252" s="0" t="s">
        <v>888</v>
      </c>
      <c r="C252" s="0" t="s">
        <v>31</v>
      </c>
      <c r="D252" s="0" t="s">
        <v>132</v>
      </c>
      <c r="E252" s="0" t="s">
        <v>1311</v>
      </c>
      <c r="F252" s="0" t="s">
        <v>1312</v>
      </c>
      <c r="G252" s="0" t="s">
        <v>1313</v>
      </c>
    </row>
    <row r="253" customFormat="false" ht="15" hidden="false" customHeight="false" outlineLevel="0" collapsed="false">
      <c r="A253" s="0" t="s">
        <v>183</v>
      </c>
      <c r="B253" s="0" t="s">
        <v>182</v>
      </c>
      <c r="C253" s="0" t="s">
        <v>31</v>
      </c>
      <c r="D253" s="0" t="s">
        <v>132</v>
      </c>
      <c r="E253" s="0" t="s">
        <v>1311</v>
      </c>
      <c r="F253" s="0" t="s">
        <v>1312</v>
      </c>
      <c r="G253" s="0" t="s">
        <v>1313</v>
      </c>
    </row>
    <row r="254" customFormat="false" ht="15" hidden="false" customHeight="false" outlineLevel="0" collapsed="false">
      <c r="A254" s="0" t="s">
        <v>658</v>
      </c>
      <c r="B254" s="0" t="s">
        <v>657</v>
      </c>
      <c r="C254" s="0" t="s">
        <v>31</v>
      </c>
      <c r="D254" s="0" t="s">
        <v>132</v>
      </c>
      <c r="E254" s="0" t="s">
        <v>1311</v>
      </c>
      <c r="F254" s="0" t="s">
        <v>1312</v>
      </c>
      <c r="G254" s="0" t="s">
        <v>1313</v>
      </c>
    </row>
    <row r="255" customFormat="false" ht="15" hidden="false" customHeight="false" outlineLevel="0" collapsed="false">
      <c r="A255" s="0" t="s">
        <v>1172</v>
      </c>
      <c r="B255" s="0" t="s">
        <v>1171</v>
      </c>
      <c r="C255" s="0" t="s">
        <v>31</v>
      </c>
      <c r="D255" s="0" t="s">
        <v>132</v>
      </c>
      <c r="E255" s="0" t="s">
        <v>1311</v>
      </c>
      <c r="F255" s="0" t="s">
        <v>1312</v>
      </c>
      <c r="G255" s="0" t="s">
        <v>1313</v>
      </c>
    </row>
    <row r="256" customFormat="false" ht="15" hidden="false" customHeight="false" outlineLevel="0" collapsed="false">
      <c r="A256" s="0" t="s">
        <v>1081</v>
      </c>
      <c r="B256" s="0" t="s">
        <v>1080</v>
      </c>
      <c r="C256" s="0" t="s">
        <v>31</v>
      </c>
      <c r="D256" s="0" t="s">
        <v>132</v>
      </c>
      <c r="E256" s="0" t="s">
        <v>1311</v>
      </c>
      <c r="F256" s="0" t="s">
        <v>1312</v>
      </c>
      <c r="G256" s="0" t="s">
        <v>1313</v>
      </c>
    </row>
    <row r="257" customFormat="false" ht="15" hidden="false" customHeight="false" outlineLevel="0" collapsed="false">
      <c r="A257" s="0" t="s">
        <v>131</v>
      </c>
      <c r="B257" s="0" t="s">
        <v>130</v>
      </c>
      <c r="C257" s="0" t="s">
        <v>132</v>
      </c>
      <c r="D257" s="0" t="s">
        <v>1311</v>
      </c>
      <c r="E257" s="0" t="s">
        <v>1312</v>
      </c>
      <c r="F257" s="0" t="s">
        <v>1313</v>
      </c>
      <c r="G257" s="0" t="s">
        <v>1314</v>
      </c>
      <c r="H257" s="0" t="s">
        <v>1290</v>
      </c>
    </row>
    <row r="258" customFormat="false" ht="15" hidden="false" customHeight="false" outlineLevel="0" collapsed="false">
      <c r="A258" s="0" t="s">
        <v>1031</v>
      </c>
      <c r="B258" s="0" t="s">
        <v>1030</v>
      </c>
      <c r="C258" s="0" t="s">
        <v>31</v>
      </c>
      <c r="D258" s="0" t="s">
        <v>132</v>
      </c>
      <c r="E258" s="0" t="s">
        <v>1311</v>
      </c>
      <c r="F258" s="0" t="s">
        <v>1312</v>
      </c>
      <c r="G258" s="0" t="s">
        <v>1313</v>
      </c>
    </row>
    <row r="259" customFormat="false" ht="15" hidden="false" customHeight="false" outlineLevel="0" collapsed="false">
      <c r="A259" s="0" t="s">
        <v>45</v>
      </c>
      <c r="B259" s="0" t="s">
        <v>44</v>
      </c>
      <c r="C259" s="0" t="s">
        <v>31</v>
      </c>
      <c r="D259" s="0" t="s">
        <v>132</v>
      </c>
      <c r="E259" s="0" t="s">
        <v>1311</v>
      </c>
      <c r="F259" s="0" t="s">
        <v>1312</v>
      </c>
      <c r="G259" s="0" t="s">
        <v>1313</v>
      </c>
    </row>
    <row r="260" customFormat="false" ht="15" hidden="false" customHeight="false" outlineLevel="0" collapsed="false">
      <c r="A260" s="0" t="s">
        <v>733</v>
      </c>
      <c r="B260" s="0" t="s">
        <v>732</v>
      </c>
      <c r="C260" s="0" t="s">
        <v>132</v>
      </c>
      <c r="D260" s="0" t="s">
        <v>1311</v>
      </c>
      <c r="E260" s="0" t="s">
        <v>1312</v>
      </c>
      <c r="F260" s="0" t="s">
        <v>1313</v>
      </c>
      <c r="G260" s="0" t="s">
        <v>1314</v>
      </c>
      <c r="H260" s="0" t="s">
        <v>1290</v>
      </c>
    </row>
    <row r="261" customFormat="false" ht="15" hidden="false" customHeight="false" outlineLevel="0" collapsed="false">
      <c r="A261" s="0" t="s">
        <v>1013</v>
      </c>
      <c r="B261" s="0" t="s">
        <v>1012</v>
      </c>
      <c r="C261" s="0" t="s">
        <v>31</v>
      </c>
      <c r="D261" s="0" t="s">
        <v>132</v>
      </c>
      <c r="E261" s="0" t="s">
        <v>1311</v>
      </c>
      <c r="F261" s="0" t="s">
        <v>1312</v>
      </c>
      <c r="G261" s="0" t="s">
        <v>1313</v>
      </c>
    </row>
    <row r="262" customFormat="false" ht="15" hidden="false" customHeight="false" outlineLevel="0" collapsed="false">
      <c r="A262" s="0" t="s">
        <v>704</v>
      </c>
      <c r="B262" s="0" t="s">
        <v>703</v>
      </c>
      <c r="C262" s="0" t="s">
        <v>31</v>
      </c>
      <c r="D262" s="0" t="s">
        <v>132</v>
      </c>
      <c r="E262" s="0" t="s">
        <v>1311</v>
      </c>
      <c r="F262" s="0" t="s">
        <v>1312</v>
      </c>
      <c r="G262" s="0" t="s">
        <v>1313</v>
      </c>
    </row>
    <row r="263" customFormat="false" ht="15" hidden="false" customHeight="false" outlineLevel="0" collapsed="false">
      <c r="A263" s="0" t="s">
        <v>783</v>
      </c>
      <c r="B263" s="0" t="s">
        <v>782</v>
      </c>
      <c r="C263" s="0" t="s">
        <v>31</v>
      </c>
      <c r="D263" s="0" t="s">
        <v>132</v>
      </c>
      <c r="E263" s="0" t="s">
        <v>1311</v>
      </c>
      <c r="F263" s="0" t="s">
        <v>1312</v>
      </c>
      <c r="G263" s="0" t="s">
        <v>1313</v>
      </c>
    </row>
    <row r="264" customFormat="false" ht="15" hidden="false" customHeight="false" outlineLevel="0" collapsed="false">
      <c r="A264" s="0" t="s">
        <v>1210</v>
      </c>
      <c r="B264" s="0" t="s">
        <v>1209</v>
      </c>
      <c r="C264" s="0" t="s">
        <v>31</v>
      </c>
      <c r="D264" s="0" t="s">
        <v>132</v>
      </c>
      <c r="E264" s="0" t="s">
        <v>1311</v>
      </c>
      <c r="F264" s="0" t="s">
        <v>1312</v>
      </c>
      <c r="G264" s="0" t="s">
        <v>1313</v>
      </c>
    </row>
    <row r="265" customFormat="false" ht="15" hidden="false" customHeight="false" outlineLevel="0" collapsed="false">
      <c r="A265" s="0" t="s">
        <v>180</v>
      </c>
      <c r="B265" s="0" t="s">
        <v>179</v>
      </c>
      <c r="C265" s="0" t="s">
        <v>31</v>
      </c>
      <c r="D265" s="0" t="s">
        <v>132</v>
      </c>
      <c r="E265" s="0" t="s">
        <v>1311</v>
      </c>
      <c r="F265" s="0" t="s">
        <v>1312</v>
      </c>
      <c r="G265" s="0" t="s">
        <v>1313</v>
      </c>
    </row>
    <row r="266" customFormat="false" ht="15" hidden="false" customHeight="false" outlineLevel="0" collapsed="false">
      <c r="A266" s="0" t="s">
        <v>177</v>
      </c>
      <c r="B266" s="0" t="s">
        <v>176</v>
      </c>
      <c r="C266" s="0" t="s">
        <v>31</v>
      </c>
      <c r="D266" s="0" t="s">
        <v>132</v>
      </c>
      <c r="E266" s="0" t="s">
        <v>1311</v>
      </c>
      <c r="F266" s="0" t="s">
        <v>1312</v>
      </c>
      <c r="G266" s="0" t="s">
        <v>1313</v>
      </c>
    </row>
    <row r="267" customFormat="false" ht="15" hidden="false" customHeight="false" outlineLevel="0" collapsed="false">
      <c r="A267" s="0" t="s">
        <v>1011</v>
      </c>
      <c r="B267" s="0" t="s">
        <v>1010</v>
      </c>
      <c r="C267" s="0" t="s">
        <v>132</v>
      </c>
      <c r="D267" s="0" t="s">
        <v>1311</v>
      </c>
      <c r="E267" s="0" t="s">
        <v>1312</v>
      </c>
      <c r="F267" s="0" t="s">
        <v>1313</v>
      </c>
      <c r="G267" s="0" t="s">
        <v>1314</v>
      </c>
      <c r="H267" s="0" t="s">
        <v>1290</v>
      </c>
    </row>
    <row r="268" customFormat="false" ht="15" hidden="false" customHeight="false" outlineLevel="0" collapsed="false">
      <c r="A268" s="0" t="s">
        <v>418</v>
      </c>
      <c r="B268" s="0" t="s">
        <v>417</v>
      </c>
      <c r="C268" s="0" t="s">
        <v>31</v>
      </c>
      <c r="D268" s="0" t="s">
        <v>132</v>
      </c>
      <c r="E268" s="0" t="s">
        <v>1311</v>
      </c>
      <c r="F268" s="0" t="s">
        <v>1312</v>
      </c>
      <c r="G268" s="0" t="s">
        <v>1313</v>
      </c>
    </row>
    <row r="269" customFormat="false" ht="15" hidden="false" customHeight="false" outlineLevel="0" collapsed="false">
      <c r="A269" s="0" t="s">
        <v>149</v>
      </c>
      <c r="B269" s="0" t="s">
        <v>148</v>
      </c>
      <c r="C269" s="0" t="s">
        <v>31</v>
      </c>
      <c r="D269" s="0" t="s">
        <v>132</v>
      </c>
      <c r="E269" s="0" t="s">
        <v>1311</v>
      </c>
      <c r="F269" s="0" t="s">
        <v>1312</v>
      </c>
      <c r="G269" s="0" t="s">
        <v>1313</v>
      </c>
    </row>
    <row r="270" customFormat="false" ht="15" hidden="false" customHeight="false" outlineLevel="0" collapsed="false">
      <c r="A270" s="0" t="s">
        <v>676</v>
      </c>
      <c r="B270" s="0" t="s">
        <v>675</v>
      </c>
      <c r="C270" s="0" t="s">
        <v>31</v>
      </c>
      <c r="D270" s="0" t="s">
        <v>132</v>
      </c>
      <c r="E270" s="0" t="s">
        <v>1311</v>
      </c>
      <c r="F270" s="0" t="s">
        <v>1312</v>
      </c>
      <c r="G270" s="0" t="s">
        <v>1313</v>
      </c>
    </row>
    <row r="271" customFormat="false" ht="15" hidden="false" customHeight="false" outlineLevel="0" collapsed="false">
      <c r="A271" s="0" t="s">
        <v>379</v>
      </c>
      <c r="B271" s="0" t="s">
        <v>378</v>
      </c>
      <c r="C271" s="0" t="s">
        <v>31</v>
      </c>
      <c r="D271" s="0" t="s">
        <v>132</v>
      </c>
      <c r="E271" s="0" t="s">
        <v>1311</v>
      </c>
      <c r="F271" s="0" t="s">
        <v>1312</v>
      </c>
      <c r="G271" s="0" t="s">
        <v>1313</v>
      </c>
    </row>
    <row r="272" customFormat="false" ht="15" hidden="false" customHeight="false" outlineLevel="0" collapsed="false">
      <c r="A272" s="0" t="s">
        <v>921</v>
      </c>
      <c r="B272" s="0" t="s">
        <v>920</v>
      </c>
      <c r="C272" s="0" t="s">
        <v>65</v>
      </c>
      <c r="D272" s="0" t="s">
        <v>1315</v>
      </c>
      <c r="E272" s="0" t="s">
        <v>1213</v>
      </c>
      <c r="F272" s="0" t="s">
        <v>1316</v>
      </c>
      <c r="G272" s="0" t="s">
        <v>1317</v>
      </c>
    </row>
    <row r="273" customFormat="false" ht="15" hidden="false" customHeight="false" outlineLevel="0" collapsed="false">
      <c r="A273" s="0" t="s">
        <v>720</v>
      </c>
      <c r="B273" s="0" t="s">
        <v>719</v>
      </c>
      <c r="C273" s="0" t="s">
        <v>65</v>
      </c>
      <c r="D273" s="0" t="s">
        <v>1315</v>
      </c>
      <c r="E273" s="0" t="s">
        <v>1213</v>
      </c>
      <c r="F273" s="0" t="s">
        <v>1316</v>
      </c>
      <c r="G273" s="0" t="s">
        <v>1317</v>
      </c>
    </row>
    <row r="274" customFormat="false" ht="15" hidden="false" customHeight="false" outlineLevel="0" collapsed="false">
      <c r="A274" s="0" t="s">
        <v>1212</v>
      </c>
      <c r="B274" s="0" t="s">
        <v>1211</v>
      </c>
      <c r="C274" s="0" t="s">
        <v>1213</v>
      </c>
    </row>
    <row r="275" customFormat="false" ht="15" hidden="false" customHeight="false" outlineLevel="0" collapsed="false">
      <c r="A275" s="0" t="s">
        <v>823</v>
      </c>
      <c r="B275" s="0" t="s">
        <v>822</v>
      </c>
      <c r="C275" s="0" t="s">
        <v>31</v>
      </c>
      <c r="D275" s="0" t="s">
        <v>132</v>
      </c>
      <c r="E275" s="0" t="s">
        <v>1311</v>
      </c>
      <c r="F275" s="0" t="s">
        <v>1312</v>
      </c>
      <c r="G275" s="0" t="s">
        <v>1313</v>
      </c>
    </row>
    <row r="276" customFormat="false" ht="15" hidden="false" customHeight="false" outlineLevel="0" collapsed="false">
      <c r="A276" s="0" t="s">
        <v>282</v>
      </c>
      <c r="B276" s="0" t="s">
        <v>281</v>
      </c>
      <c r="C276" s="0" t="s">
        <v>31</v>
      </c>
      <c r="D276" s="0" t="s">
        <v>132</v>
      </c>
      <c r="E276" s="0" t="s">
        <v>1309</v>
      </c>
      <c r="F276" s="0" t="s">
        <v>1310</v>
      </c>
      <c r="G276" s="0" t="s">
        <v>1318</v>
      </c>
    </row>
    <row r="277" customFormat="false" ht="15" hidden="false" customHeight="false" outlineLevel="0" collapsed="false">
      <c r="A277" s="0" t="s">
        <v>749</v>
      </c>
      <c r="B277" s="0" t="s">
        <v>748</v>
      </c>
      <c r="C277" s="0" t="s">
        <v>31</v>
      </c>
      <c r="D277" s="0" t="s">
        <v>132</v>
      </c>
      <c r="E277" s="0" t="s">
        <v>1311</v>
      </c>
      <c r="F277" s="0" t="s">
        <v>1312</v>
      </c>
      <c r="G277" s="0" t="s">
        <v>1313</v>
      </c>
    </row>
    <row r="278" customFormat="false" ht="15" hidden="false" customHeight="false" outlineLevel="0" collapsed="false">
      <c r="A278" s="0" t="s">
        <v>590</v>
      </c>
      <c r="B278" s="0" t="s">
        <v>589</v>
      </c>
      <c r="C278" s="0" t="s">
        <v>31</v>
      </c>
      <c r="D278" s="0" t="s">
        <v>132</v>
      </c>
      <c r="E278" s="0" t="s">
        <v>1311</v>
      </c>
      <c r="F278" s="0" t="s">
        <v>1312</v>
      </c>
      <c r="G278" s="0" t="s">
        <v>1313</v>
      </c>
    </row>
    <row r="279" customFormat="false" ht="15" hidden="false" customHeight="false" outlineLevel="0" collapsed="false">
      <c r="A279" s="0" t="s">
        <v>574</v>
      </c>
      <c r="B279" s="0" t="s">
        <v>573</v>
      </c>
      <c r="C279" s="0" t="s">
        <v>31</v>
      </c>
      <c r="D279" s="0" t="s">
        <v>132</v>
      </c>
      <c r="E279" s="0" t="s">
        <v>1311</v>
      </c>
      <c r="F279" s="0" t="s">
        <v>1312</v>
      </c>
      <c r="G279" s="0" t="s">
        <v>1313</v>
      </c>
    </row>
    <row r="280" customFormat="false" ht="15" hidden="false" customHeight="false" outlineLevel="0" collapsed="false">
      <c r="A280" s="0" t="s">
        <v>1178</v>
      </c>
      <c r="B280" s="0" t="s">
        <v>1177</v>
      </c>
      <c r="C280" s="0" t="s">
        <v>31</v>
      </c>
      <c r="D280" s="0" t="s">
        <v>132</v>
      </c>
      <c r="E280" s="0" t="s">
        <v>1311</v>
      </c>
      <c r="F280" s="0" t="s">
        <v>1312</v>
      </c>
      <c r="G280" s="0" t="s">
        <v>1313</v>
      </c>
    </row>
    <row r="281" customFormat="false" ht="15" hidden="false" customHeight="false" outlineLevel="0" collapsed="false">
      <c r="A281" s="0" t="s">
        <v>323</v>
      </c>
      <c r="B281" s="0" t="s">
        <v>322</v>
      </c>
      <c r="C281" s="0" t="s">
        <v>31</v>
      </c>
      <c r="D281" s="0" t="s">
        <v>132</v>
      </c>
      <c r="E281" s="0" t="s">
        <v>1311</v>
      </c>
      <c r="F281" s="0" t="s">
        <v>1312</v>
      </c>
      <c r="G281" s="0" t="s">
        <v>1313</v>
      </c>
    </row>
    <row r="282" customFormat="false" ht="15" hidden="false" customHeight="false" outlineLevel="0" collapsed="false">
      <c r="A282" s="0" t="s">
        <v>338</v>
      </c>
      <c r="B282" s="0" t="s">
        <v>337</v>
      </c>
      <c r="C282" s="0" t="s">
        <v>31</v>
      </c>
      <c r="D282" s="0" t="s">
        <v>132</v>
      </c>
      <c r="E282" s="0" t="s">
        <v>1311</v>
      </c>
      <c r="F282" s="0" t="s">
        <v>1312</v>
      </c>
      <c r="G282" s="0" t="s">
        <v>1313</v>
      </c>
    </row>
    <row r="283" customFormat="false" ht="15" hidden="false" customHeight="false" outlineLevel="0" collapsed="false">
      <c r="A283" s="0" t="s">
        <v>530</v>
      </c>
      <c r="B283" s="0" t="s">
        <v>529</v>
      </c>
      <c r="C283" s="0" t="s">
        <v>132</v>
      </c>
      <c r="D283" s="0" t="s">
        <v>1311</v>
      </c>
      <c r="E283" s="0" t="s">
        <v>1312</v>
      </c>
      <c r="F283" s="0" t="s">
        <v>1313</v>
      </c>
      <c r="G283" s="0" t="s">
        <v>1314</v>
      </c>
      <c r="H283" s="0" t="s">
        <v>1290</v>
      </c>
    </row>
    <row r="284" customFormat="false" ht="15" hidden="false" customHeight="false" outlineLevel="0" collapsed="false">
      <c r="A284" s="0" t="s">
        <v>578</v>
      </c>
      <c r="B284" s="0" t="s">
        <v>577</v>
      </c>
      <c r="C284" s="0" t="s">
        <v>31</v>
      </c>
      <c r="D284" s="0" t="s">
        <v>132</v>
      </c>
      <c r="E284" s="0" t="s">
        <v>1311</v>
      </c>
      <c r="F284" s="0" t="s">
        <v>1312</v>
      </c>
      <c r="G284" s="0" t="s">
        <v>1313</v>
      </c>
    </row>
    <row r="285" customFormat="false" ht="15" hidden="false" customHeight="false" outlineLevel="0" collapsed="false">
      <c r="A285" s="0" t="s">
        <v>576</v>
      </c>
      <c r="B285" s="0" t="s">
        <v>575</v>
      </c>
      <c r="C285" s="0" t="s">
        <v>31</v>
      </c>
      <c r="D285" s="0" t="s">
        <v>132</v>
      </c>
      <c r="E285" s="0" t="s">
        <v>1311</v>
      </c>
      <c r="F285" s="0" t="s">
        <v>1312</v>
      </c>
      <c r="G285" s="0" t="s">
        <v>1313</v>
      </c>
    </row>
    <row r="286" customFormat="false" ht="15" hidden="false" customHeight="false" outlineLevel="0" collapsed="false">
      <c r="A286" s="0" t="s">
        <v>861</v>
      </c>
      <c r="B286" s="0" t="s">
        <v>860</v>
      </c>
      <c r="C286" s="0" t="s">
        <v>31</v>
      </c>
      <c r="D286" s="0" t="s">
        <v>132</v>
      </c>
      <c r="E286" s="0" t="s">
        <v>1311</v>
      </c>
      <c r="F286" s="0" t="s">
        <v>1312</v>
      </c>
      <c r="G286" s="0" t="s">
        <v>1313</v>
      </c>
    </row>
    <row r="287" customFormat="false" ht="15" hidden="false" customHeight="false" outlineLevel="0" collapsed="false">
      <c r="A287" s="0" t="s">
        <v>1170</v>
      </c>
      <c r="B287" s="0" t="s">
        <v>1169</v>
      </c>
      <c r="C287" s="0" t="s">
        <v>31</v>
      </c>
      <c r="D287" s="0" t="s">
        <v>132</v>
      </c>
      <c r="E287" s="0" t="s">
        <v>1311</v>
      </c>
      <c r="F287" s="0" t="s">
        <v>1312</v>
      </c>
      <c r="G287" s="0" t="s">
        <v>1313</v>
      </c>
    </row>
    <row r="288" customFormat="false" ht="15" hidden="false" customHeight="false" outlineLevel="0" collapsed="false">
      <c r="A288" s="0" t="s">
        <v>457</v>
      </c>
      <c r="B288" s="0" t="s">
        <v>456</v>
      </c>
      <c r="C288" s="0" t="s">
        <v>31</v>
      </c>
      <c r="D288" s="0" t="s">
        <v>132</v>
      </c>
      <c r="E288" s="0" t="s">
        <v>1311</v>
      </c>
      <c r="F288" s="0" t="s">
        <v>1312</v>
      </c>
      <c r="G288" s="0" t="s">
        <v>1313</v>
      </c>
    </row>
    <row r="289" customFormat="false" ht="15" hidden="false" customHeight="false" outlineLevel="0" collapsed="false">
      <c r="A289" s="0" t="s">
        <v>853</v>
      </c>
      <c r="B289" s="0" t="s">
        <v>852</v>
      </c>
      <c r="C289" s="0" t="s">
        <v>31</v>
      </c>
      <c r="D289" s="0" t="s">
        <v>132</v>
      </c>
      <c r="E289" s="0" t="s">
        <v>1311</v>
      </c>
      <c r="F289" s="0" t="s">
        <v>1312</v>
      </c>
      <c r="G289" s="0" t="s">
        <v>1313</v>
      </c>
    </row>
    <row r="290" customFormat="false" ht="15" hidden="false" customHeight="false" outlineLevel="0" collapsed="false">
      <c r="A290" s="0" t="s">
        <v>847</v>
      </c>
      <c r="B290" s="0" t="s">
        <v>846</v>
      </c>
      <c r="C290" s="0" t="s">
        <v>31</v>
      </c>
      <c r="D290" s="0" t="s">
        <v>132</v>
      </c>
      <c r="E290" s="0" t="s">
        <v>1311</v>
      </c>
      <c r="F290" s="0" t="s">
        <v>1312</v>
      </c>
      <c r="G290" s="0" t="s">
        <v>1313</v>
      </c>
    </row>
    <row r="291" customFormat="false" ht="15" hidden="false" customHeight="false" outlineLevel="0" collapsed="false">
      <c r="A291" s="0" t="s">
        <v>913</v>
      </c>
      <c r="B291" s="0" t="s">
        <v>912</v>
      </c>
      <c r="C291" s="0" t="s">
        <v>31</v>
      </c>
      <c r="D291" s="0" t="s">
        <v>132</v>
      </c>
      <c r="E291" s="0" t="s">
        <v>1311</v>
      </c>
      <c r="F291" s="0" t="s">
        <v>1312</v>
      </c>
      <c r="G291" s="0" t="s">
        <v>1313</v>
      </c>
    </row>
    <row r="292" customFormat="false" ht="15" hidden="false" customHeight="false" outlineLevel="0" collapsed="false">
      <c r="A292" s="0" t="s">
        <v>616</v>
      </c>
      <c r="B292" s="0" t="s">
        <v>615</v>
      </c>
      <c r="C292" s="0" t="s">
        <v>31</v>
      </c>
      <c r="D292" s="0" t="s">
        <v>132</v>
      </c>
      <c r="E292" s="0" t="s">
        <v>1311</v>
      </c>
      <c r="F292" s="0" t="s">
        <v>1312</v>
      </c>
      <c r="G292" s="0" t="s">
        <v>1313</v>
      </c>
    </row>
    <row r="293" customFormat="false" ht="15" hidden="false" customHeight="false" outlineLevel="0" collapsed="false">
      <c r="A293" s="0" t="s">
        <v>943</v>
      </c>
      <c r="B293" s="0" t="s">
        <v>942</v>
      </c>
      <c r="C293" s="0" t="s">
        <v>31</v>
      </c>
      <c r="D293" s="0" t="s">
        <v>132</v>
      </c>
      <c r="E293" s="0" t="s">
        <v>1311</v>
      </c>
      <c r="F293" s="0" t="s">
        <v>1312</v>
      </c>
      <c r="G293" s="0" t="s">
        <v>1313</v>
      </c>
    </row>
    <row r="294" customFormat="false" ht="15" hidden="false" customHeight="false" outlineLevel="0" collapsed="false">
      <c r="A294" s="0" t="s">
        <v>537</v>
      </c>
      <c r="B294" s="0" t="s">
        <v>536</v>
      </c>
      <c r="C294" s="0" t="s">
        <v>31</v>
      </c>
      <c r="D294" s="0" t="s">
        <v>132</v>
      </c>
      <c r="E294" s="0" t="s">
        <v>1311</v>
      </c>
      <c r="F294" s="0" t="s">
        <v>1312</v>
      </c>
      <c r="G294" s="0" t="s">
        <v>1313</v>
      </c>
    </row>
    <row r="295" customFormat="false" ht="15" hidden="false" customHeight="false" outlineLevel="0" collapsed="false">
      <c r="A295" s="0" t="s">
        <v>255</v>
      </c>
      <c r="B295" s="0" t="s">
        <v>254</v>
      </c>
      <c r="C295" s="0" t="s">
        <v>31</v>
      </c>
      <c r="D295" s="0" t="s">
        <v>132</v>
      </c>
      <c r="E295" s="0" t="s">
        <v>1311</v>
      </c>
      <c r="F295" s="0" t="s">
        <v>1312</v>
      </c>
      <c r="G295" s="0" t="s">
        <v>1313</v>
      </c>
    </row>
    <row r="296" customFormat="false" ht="15" hidden="false" customHeight="false" outlineLevel="0" collapsed="false">
      <c r="A296" s="0" t="s">
        <v>403</v>
      </c>
      <c r="B296" s="0" t="s">
        <v>402</v>
      </c>
      <c r="C296" s="0" t="s">
        <v>31</v>
      </c>
      <c r="D296" s="0" t="s">
        <v>132</v>
      </c>
      <c r="E296" s="0" t="s">
        <v>1311</v>
      </c>
      <c r="F296" s="0" t="s">
        <v>1312</v>
      </c>
      <c r="G296" s="0" t="s">
        <v>1313</v>
      </c>
    </row>
    <row r="297" customFormat="false" ht="15" hidden="false" customHeight="false" outlineLevel="0" collapsed="false">
      <c r="A297" s="0" t="s">
        <v>1093</v>
      </c>
      <c r="B297" s="0" t="s">
        <v>1092</v>
      </c>
      <c r="C297" s="0" t="s">
        <v>65</v>
      </c>
      <c r="D297" s="0" t="s">
        <v>1315</v>
      </c>
      <c r="E297" s="0" t="s">
        <v>1213</v>
      </c>
      <c r="F297" s="0" t="s">
        <v>1316</v>
      </c>
      <c r="G297" s="0" t="s">
        <v>1317</v>
      </c>
      <c r="H297" s="0" t="s">
        <v>1292</v>
      </c>
    </row>
    <row r="298" customFormat="false" ht="15" hidden="false" customHeight="false" outlineLevel="0" collapsed="false">
      <c r="A298" s="0" t="s">
        <v>851</v>
      </c>
      <c r="B298" s="0" t="s">
        <v>850</v>
      </c>
      <c r="C298" s="0" t="s">
        <v>31</v>
      </c>
      <c r="D298" s="0" t="s">
        <v>132</v>
      </c>
      <c r="E298" s="0" t="s">
        <v>1311</v>
      </c>
      <c r="F298" s="0" t="s">
        <v>1312</v>
      </c>
      <c r="G298" s="0" t="s">
        <v>1313</v>
      </c>
    </row>
    <row r="299" customFormat="false" ht="15" hidden="false" customHeight="false" outlineLevel="0" collapsed="false">
      <c r="A299" s="0" t="s">
        <v>652</v>
      </c>
      <c r="B299" s="0" t="s">
        <v>651</v>
      </c>
      <c r="C299" s="0" t="s">
        <v>31</v>
      </c>
      <c r="D299" s="0" t="s">
        <v>132</v>
      </c>
      <c r="E299" s="0" t="s">
        <v>1311</v>
      </c>
      <c r="F299" s="0" t="s">
        <v>1312</v>
      </c>
      <c r="G299" s="0" t="s">
        <v>1313</v>
      </c>
    </row>
    <row r="300" customFormat="false" ht="15" hidden="false" customHeight="false" outlineLevel="0" collapsed="false">
      <c r="A300" s="0" t="s">
        <v>503</v>
      </c>
      <c r="B300" s="0" t="s">
        <v>502</v>
      </c>
      <c r="C300" s="0" t="s">
        <v>31</v>
      </c>
      <c r="D300" s="0" t="s">
        <v>132</v>
      </c>
      <c r="E300" s="0" t="s">
        <v>1311</v>
      </c>
      <c r="F300" s="0" t="s">
        <v>1312</v>
      </c>
      <c r="G300" s="0" t="s">
        <v>1313</v>
      </c>
    </row>
    <row r="301" customFormat="false" ht="15" hidden="false" customHeight="false" outlineLevel="0" collapsed="false">
      <c r="A301" s="0" t="s">
        <v>454</v>
      </c>
      <c r="B301" s="0" t="s">
        <v>453</v>
      </c>
      <c r="C301" s="0" t="s">
        <v>31</v>
      </c>
      <c r="D301" s="0" t="s">
        <v>132</v>
      </c>
      <c r="E301" s="0" t="s">
        <v>1311</v>
      </c>
      <c r="F301" s="0" t="s">
        <v>1312</v>
      </c>
      <c r="G301" s="0" t="s">
        <v>1313</v>
      </c>
    </row>
    <row r="302" customFormat="false" ht="15" hidden="false" customHeight="false" outlineLevel="0" collapsed="false">
      <c r="A302" s="0" t="s">
        <v>596</v>
      </c>
      <c r="B302" s="0" t="s">
        <v>595</v>
      </c>
      <c r="C302" s="0" t="s">
        <v>31</v>
      </c>
      <c r="D302" s="0" t="s">
        <v>132</v>
      </c>
      <c r="E302" s="0" t="s">
        <v>1311</v>
      </c>
      <c r="F302" s="0" t="s">
        <v>1312</v>
      </c>
      <c r="G302" s="0" t="s">
        <v>1313</v>
      </c>
    </row>
    <row r="303" customFormat="false" ht="15" hidden="false" customHeight="false" outlineLevel="0" collapsed="false">
      <c r="A303" s="0" t="s">
        <v>594</v>
      </c>
      <c r="B303" s="0" t="s">
        <v>593</v>
      </c>
      <c r="C303" s="0" t="s">
        <v>31</v>
      </c>
      <c r="D303" s="0" t="s">
        <v>132</v>
      </c>
      <c r="E303" s="0" t="s">
        <v>1311</v>
      </c>
      <c r="F303" s="0" t="s">
        <v>1312</v>
      </c>
      <c r="G303" s="0" t="s">
        <v>1313</v>
      </c>
    </row>
    <row r="304" customFormat="false" ht="15" hidden="false" customHeight="false" outlineLevel="0" collapsed="false">
      <c r="A304" s="0" t="s">
        <v>931</v>
      </c>
      <c r="B304" s="0" t="s">
        <v>930</v>
      </c>
      <c r="C304" s="0" t="s">
        <v>31</v>
      </c>
      <c r="D304" s="0" t="s">
        <v>132</v>
      </c>
      <c r="E304" s="0" t="s">
        <v>1311</v>
      </c>
      <c r="F304" s="0" t="s">
        <v>1312</v>
      </c>
      <c r="G304" s="0" t="s">
        <v>1313</v>
      </c>
    </row>
    <row r="305" customFormat="false" ht="15" hidden="false" customHeight="false" outlineLevel="0" collapsed="false">
      <c r="A305" s="0" t="s">
        <v>415</v>
      </c>
      <c r="B305" s="0" t="s">
        <v>414</v>
      </c>
      <c r="C305" s="0" t="s">
        <v>31</v>
      </c>
      <c r="D305" s="0" t="s">
        <v>132</v>
      </c>
      <c r="E305" s="0" t="s">
        <v>1311</v>
      </c>
      <c r="F305" s="0" t="s">
        <v>1312</v>
      </c>
      <c r="G305" s="0" t="s">
        <v>1313</v>
      </c>
    </row>
    <row r="306" customFormat="false" ht="15" hidden="false" customHeight="false" outlineLevel="0" collapsed="false">
      <c r="A306" s="0" t="s">
        <v>317</v>
      </c>
      <c r="B306" s="0" t="s">
        <v>316</v>
      </c>
      <c r="C306" s="0" t="s">
        <v>31</v>
      </c>
      <c r="D306" s="0" t="s">
        <v>132</v>
      </c>
      <c r="E306" s="0" t="s">
        <v>1311</v>
      </c>
      <c r="F306" s="0" t="s">
        <v>1312</v>
      </c>
      <c r="G306" s="0" t="s">
        <v>1313</v>
      </c>
    </row>
    <row r="307" customFormat="false" ht="15" hidden="false" customHeight="false" outlineLevel="0" collapsed="false">
      <c r="A307" s="0" t="s">
        <v>273</v>
      </c>
      <c r="B307" s="0" t="s">
        <v>272</v>
      </c>
      <c r="C307" s="0" t="s">
        <v>31</v>
      </c>
      <c r="D307" s="0" t="s">
        <v>132</v>
      </c>
      <c r="E307" s="0" t="s">
        <v>1311</v>
      </c>
      <c r="F307" s="0" t="s">
        <v>1312</v>
      </c>
      <c r="G307" s="0" t="s">
        <v>1313</v>
      </c>
    </row>
    <row r="308" customFormat="false" ht="15" hidden="false" customHeight="false" outlineLevel="0" collapsed="false">
      <c r="A308" s="0" t="s">
        <v>773</v>
      </c>
      <c r="B308" s="0" t="s">
        <v>772</v>
      </c>
      <c r="C308" s="0" t="s">
        <v>31</v>
      </c>
      <c r="D308" s="0" t="s">
        <v>132</v>
      </c>
      <c r="E308" s="0" t="s">
        <v>1311</v>
      </c>
      <c r="F308" s="0" t="s">
        <v>1312</v>
      </c>
      <c r="G308" s="0" t="s">
        <v>1313</v>
      </c>
    </row>
    <row r="309" customFormat="false" ht="15" hidden="false" customHeight="false" outlineLevel="0" collapsed="false">
      <c r="A309" s="0" t="s">
        <v>1039</v>
      </c>
      <c r="B309" s="0" t="s">
        <v>1038</v>
      </c>
      <c r="C309" s="0" t="s">
        <v>31</v>
      </c>
      <c r="D309" s="0" t="s">
        <v>132</v>
      </c>
      <c r="E309" s="0" t="s">
        <v>1311</v>
      </c>
      <c r="F309" s="0" t="s">
        <v>1312</v>
      </c>
      <c r="G309" s="0" t="s">
        <v>1313</v>
      </c>
    </row>
    <row r="310" customFormat="false" ht="15" hidden="false" customHeight="false" outlineLevel="0" collapsed="false">
      <c r="A310" s="0" t="s">
        <v>341</v>
      </c>
      <c r="B310" s="0" t="s">
        <v>340</v>
      </c>
      <c r="C310" s="0" t="s">
        <v>31</v>
      </c>
      <c r="D310" s="0" t="s">
        <v>132</v>
      </c>
      <c r="E310" s="0" t="s">
        <v>1311</v>
      </c>
      <c r="F310" s="0" t="s">
        <v>1312</v>
      </c>
      <c r="G310" s="0" t="s">
        <v>1313</v>
      </c>
    </row>
    <row r="311" customFormat="false" ht="15" hidden="false" customHeight="false" outlineLevel="0" collapsed="false">
      <c r="A311" s="0" t="s">
        <v>497</v>
      </c>
      <c r="B311" s="0" t="s">
        <v>496</v>
      </c>
      <c r="C311" s="0" t="s">
        <v>31</v>
      </c>
      <c r="D311" s="0" t="s">
        <v>132</v>
      </c>
      <c r="E311" s="0" t="s">
        <v>1311</v>
      </c>
      <c r="F311" s="0" t="s">
        <v>1312</v>
      </c>
      <c r="G311" s="0" t="s">
        <v>1313</v>
      </c>
    </row>
    <row r="312" customFormat="false" ht="15" hidden="false" customHeight="false" outlineLevel="0" collapsed="false">
      <c r="A312" s="0" t="s">
        <v>829</v>
      </c>
      <c r="B312" s="0" t="s">
        <v>828</v>
      </c>
      <c r="C312" s="0" t="s">
        <v>31</v>
      </c>
      <c r="D312" s="0" t="s">
        <v>132</v>
      </c>
      <c r="E312" s="0" t="s">
        <v>1311</v>
      </c>
      <c r="F312" s="0" t="s">
        <v>1312</v>
      </c>
      <c r="G312" s="0" t="s">
        <v>1313</v>
      </c>
    </row>
    <row r="313" customFormat="false" ht="15" hidden="false" customHeight="false" outlineLevel="0" collapsed="false">
      <c r="A313" s="0" t="s">
        <v>41</v>
      </c>
      <c r="B313" s="0" t="s">
        <v>40</v>
      </c>
      <c r="C313" s="0" t="s">
        <v>38</v>
      </c>
      <c r="D313" s="0" t="s">
        <v>494</v>
      </c>
      <c r="E313" s="0" t="s">
        <v>1308</v>
      </c>
      <c r="F313" s="0" t="s">
        <v>1309</v>
      </c>
      <c r="G313" s="0" t="s">
        <v>1310</v>
      </c>
    </row>
    <row r="314" customFormat="false" ht="15" hidden="false" customHeight="false" outlineLevel="0" collapsed="false">
      <c r="A314" s="0" t="s">
        <v>909</v>
      </c>
      <c r="B314" s="0" t="s">
        <v>908</v>
      </c>
      <c r="C314" s="0" t="s">
        <v>31</v>
      </c>
      <c r="D314" s="0" t="s">
        <v>132</v>
      </c>
      <c r="E314" s="0" t="s">
        <v>1311</v>
      </c>
      <c r="F314" s="0" t="s">
        <v>1312</v>
      </c>
      <c r="G314" s="0" t="s">
        <v>1313</v>
      </c>
    </row>
    <row r="315" customFormat="false" ht="15" hidden="false" customHeight="false" outlineLevel="0" collapsed="false">
      <c r="A315" s="0" t="s">
        <v>490</v>
      </c>
      <c r="B315" s="0" t="s">
        <v>489</v>
      </c>
      <c r="C315" s="0" t="s">
        <v>31</v>
      </c>
      <c r="D315" s="0" t="s">
        <v>132</v>
      </c>
      <c r="E315" s="0" t="s">
        <v>1311</v>
      </c>
      <c r="F315" s="0" t="s">
        <v>1312</v>
      </c>
      <c r="G315" s="0" t="s">
        <v>1313</v>
      </c>
    </row>
    <row r="316" customFormat="false" ht="15" hidden="false" customHeight="false" outlineLevel="0" collapsed="false">
      <c r="A316" s="0" t="s">
        <v>344</v>
      </c>
      <c r="B316" s="0" t="s">
        <v>343</v>
      </c>
      <c r="C316" s="0" t="s">
        <v>31</v>
      </c>
      <c r="D316" s="0" t="s">
        <v>132</v>
      </c>
      <c r="E316" s="0" t="s">
        <v>1311</v>
      </c>
      <c r="F316" s="0" t="s">
        <v>1312</v>
      </c>
      <c r="G316" s="0" t="s">
        <v>1313</v>
      </c>
    </row>
    <row r="317" customFormat="false" ht="15" hidden="false" customHeight="false" outlineLevel="0" collapsed="false">
      <c r="A317" s="0" t="s">
        <v>1023</v>
      </c>
      <c r="B317" s="0" t="s">
        <v>1022</v>
      </c>
      <c r="C317" s="0" t="s">
        <v>31</v>
      </c>
      <c r="D317" s="0" t="s">
        <v>132</v>
      </c>
      <c r="E317" s="0" t="s">
        <v>1311</v>
      </c>
      <c r="F317" s="0" t="s">
        <v>1312</v>
      </c>
      <c r="G317" s="0" t="s">
        <v>1313</v>
      </c>
    </row>
    <row r="318" customFormat="false" ht="15" hidden="false" customHeight="false" outlineLevel="0" collapsed="false">
      <c r="A318" s="0" t="s">
        <v>1215</v>
      </c>
      <c r="B318" s="0" t="s">
        <v>1214</v>
      </c>
      <c r="C318" s="0" t="s">
        <v>31</v>
      </c>
      <c r="D318" s="0" t="s">
        <v>132</v>
      </c>
      <c r="E318" s="0" t="s">
        <v>1313</v>
      </c>
      <c r="F318" s="0" t="s">
        <v>1314</v>
      </c>
    </row>
    <row r="319" customFormat="false" ht="15" hidden="false" customHeight="false" outlineLevel="0" collapsed="false">
      <c r="A319" s="0" t="s">
        <v>216</v>
      </c>
      <c r="B319" s="0" t="s">
        <v>215</v>
      </c>
      <c r="C319" s="0" t="s">
        <v>31</v>
      </c>
      <c r="D319" s="0" t="s">
        <v>132</v>
      </c>
      <c r="E319" s="0" t="s">
        <v>1311</v>
      </c>
      <c r="F319" s="0" t="s">
        <v>1312</v>
      </c>
      <c r="G319" s="0" t="s">
        <v>1313</v>
      </c>
    </row>
    <row r="320" customFormat="false" ht="15" hidden="false" customHeight="false" outlineLevel="0" collapsed="false">
      <c r="A320" s="0" t="s">
        <v>332</v>
      </c>
      <c r="B320" s="0" t="s">
        <v>331</v>
      </c>
      <c r="C320" s="0" t="s">
        <v>38</v>
      </c>
      <c r="D320" s="0" t="s">
        <v>494</v>
      </c>
      <c r="E320" s="0" t="s">
        <v>1308</v>
      </c>
      <c r="F320" s="0" t="s">
        <v>1309</v>
      </c>
      <c r="G320" s="0" t="s">
        <v>1310</v>
      </c>
    </row>
    <row r="321" customFormat="false" ht="15" hidden="false" customHeight="false" outlineLevel="0" collapsed="false">
      <c r="A321" s="0" t="s">
        <v>722</v>
      </c>
      <c r="B321" s="0" t="s">
        <v>721</v>
      </c>
      <c r="C321" s="0" t="s">
        <v>38</v>
      </c>
      <c r="D321" s="0" t="s">
        <v>494</v>
      </c>
      <c r="E321" s="0" t="s">
        <v>1308</v>
      </c>
      <c r="F321" s="0" t="s">
        <v>1309</v>
      </c>
      <c r="G321" s="0" t="s">
        <v>1310</v>
      </c>
    </row>
    <row r="322" customFormat="false" ht="15" hidden="false" customHeight="false" outlineLevel="0" collapsed="false">
      <c r="A322" s="0" t="s">
        <v>1162</v>
      </c>
      <c r="B322" s="0" t="s">
        <v>1161</v>
      </c>
      <c r="C322" s="0" t="s">
        <v>38</v>
      </c>
      <c r="D322" s="0" t="s">
        <v>494</v>
      </c>
      <c r="E322" s="0" t="s">
        <v>1308</v>
      </c>
      <c r="F322" s="0" t="s">
        <v>1309</v>
      </c>
      <c r="G322" s="0" t="s">
        <v>1310</v>
      </c>
    </row>
    <row r="323" customFormat="false" ht="15" hidden="false" customHeight="false" outlineLevel="0" collapsed="false">
      <c r="A323" s="0" t="s">
        <v>903</v>
      </c>
      <c r="B323" s="0" t="s">
        <v>902</v>
      </c>
      <c r="C323" s="0" t="s">
        <v>31</v>
      </c>
      <c r="D323" s="0" t="s">
        <v>132</v>
      </c>
      <c r="E323" s="0" t="s">
        <v>1311</v>
      </c>
      <c r="F323" s="0" t="s">
        <v>1312</v>
      </c>
      <c r="G323" s="0" t="s">
        <v>1313</v>
      </c>
    </row>
    <row r="324" customFormat="false" ht="15" hidden="false" customHeight="false" outlineLevel="0" collapsed="false">
      <c r="A324" s="0" t="s">
        <v>1045</v>
      </c>
      <c r="B324" s="0" t="s">
        <v>1044</v>
      </c>
      <c r="C324" s="0" t="s">
        <v>31</v>
      </c>
      <c r="D324" s="0" t="s">
        <v>132</v>
      </c>
      <c r="E324" s="0" t="s">
        <v>1311</v>
      </c>
      <c r="F324" s="0" t="s">
        <v>1312</v>
      </c>
      <c r="G324" s="0" t="s">
        <v>1313</v>
      </c>
    </row>
    <row r="325" customFormat="false" ht="15" hidden="false" customHeight="false" outlineLevel="0" collapsed="false">
      <c r="A325" s="0" t="s">
        <v>915</v>
      </c>
      <c r="B325" s="0" t="s">
        <v>914</v>
      </c>
      <c r="C325" s="0" t="s">
        <v>31</v>
      </c>
      <c r="D325" s="0" t="s">
        <v>132</v>
      </c>
      <c r="E325" s="0" t="s">
        <v>1311</v>
      </c>
      <c r="F325" s="0" t="s">
        <v>1312</v>
      </c>
      <c r="G325" s="0" t="s">
        <v>1313</v>
      </c>
    </row>
    <row r="326" customFormat="false" ht="15" hidden="false" customHeight="false" outlineLevel="0" collapsed="false">
      <c r="A326" s="0" t="s">
        <v>376</v>
      </c>
      <c r="B326" s="0" t="s">
        <v>375</v>
      </c>
      <c r="C326" s="0" t="s">
        <v>31</v>
      </c>
      <c r="D326" s="0" t="s">
        <v>132</v>
      </c>
      <c r="E326" s="0" t="s">
        <v>1311</v>
      </c>
      <c r="F326" s="0" t="s">
        <v>1312</v>
      </c>
      <c r="G326" s="0" t="s">
        <v>1313</v>
      </c>
    </row>
    <row r="327" customFormat="false" ht="15" hidden="false" customHeight="false" outlineLevel="0" collapsed="false">
      <c r="A327" s="0" t="s">
        <v>586</v>
      </c>
      <c r="B327" s="0" t="s">
        <v>585</v>
      </c>
      <c r="C327" s="0" t="s">
        <v>31</v>
      </c>
      <c r="D327" s="0" t="s">
        <v>132</v>
      </c>
      <c r="E327" s="0" t="s">
        <v>1311</v>
      </c>
      <c r="F327" s="0" t="s">
        <v>1312</v>
      </c>
      <c r="G327" s="0" t="s">
        <v>1313</v>
      </c>
    </row>
    <row r="328" customFormat="false" ht="15" hidden="false" customHeight="false" outlineLevel="0" collapsed="false">
      <c r="A328" s="0" t="s">
        <v>68</v>
      </c>
      <c r="B328" s="0" t="s">
        <v>67</v>
      </c>
      <c r="C328" s="0" t="s">
        <v>31</v>
      </c>
      <c r="D328" s="0" t="s">
        <v>132</v>
      </c>
      <c r="E328" s="0" t="s">
        <v>1311</v>
      </c>
      <c r="F328" s="0" t="s">
        <v>1312</v>
      </c>
      <c r="G328" s="0" t="s">
        <v>1313</v>
      </c>
    </row>
    <row r="329" customFormat="false" ht="15" hidden="false" customHeight="false" outlineLevel="0" collapsed="false">
      <c r="A329" s="0" t="s">
        <v>365</v>
      </c>
      <c r="B329" s="0" t="s">
        <v>364</v>
      </c>
      <c r="C329" s="0" t="s">
        <v>31</v>
      </c>
      <c r="D329" s="0" t="s">
        <v>132</v>
      </c>
      <c r="E329" s="0" t="s">
        <v>1311</v>
      </c>
      <c r="F329" s="0" t="s">
        <v>1312</v>
      </c>
      <c r="G329" s="0" t="s">
        <v>1313</v>
      </c>
    </row>
    <row r="330" customFormat="false" ht="15" hidden="false" customHeight="false" outlineLevel="0" collapsed="false">
      <c r="A330" s="0" t="s">
        <v>1098</v>
      </c>
      <c r="B330" s="0" t="s">
        <v>1098</v>
      </c>
      <c r="C330" s="0" t="s">
        <v>31</v>
      </c>
      <c r="D330" s="0" t="s">
        <v>132</v>
      </c>
      <c r="E330" s="0" t="s">
        <v>1311</v>
      </c>
      <c r="F330" s="0" t="s">
        <v>1312</v>
      </c>
      <c r="G330" s="0" t="s">
        <v>1313</v>
      </c>
    </row>
    <row r="331" customFormat="false" ht="15" hidden="false" customHeight="false" outlineLevel="0" collapsed="false">
      <c r="A331" s="0" t="s">
        <v>763</v>
      </c>
      <c r="B331" s="0" t="s">
        <v>762</v>
      </c>
      <c r="C331" s="0" t="s">
        <v>31</v>
      </c>
      <c r="D331" s="0" t="s">
        <v>132</v>
      </c>
      <c r="E331" s="0" t="s">
        <v>1311</v>
      </c>
      <c r="F331" s="0" t="s">
        <v>1312</v>
      </c>
      <c r="G331" s="0" t="s">
        <v>1313</v>
      </c>
    </row>
    <row r="332" customFormat="false" ht="15" hidden="false" customHeight="false" outlineLevel="0" collapsed="false">
      <c r="A332" s="0" t="s">
        <v>799</v>
      </c>
      <c r="B332" s="0" t="s">
        <v>798</v>
      </c>
      <c r="C332" s="0" t="s">
        <v>31</v>
      </c>
      <c r="D332" s="0" t="s">
        <v>132</v>
      </c>
      <c r="E332" s="0" t="s">
        <v>1311</v>
      </c>
      <c r="F332" s="0" t="s">
        <v>1312</v>
      </c>
      <c r="G332" s="0" t="s">
        <v>1313</v>
      </c>
    </row>
    <row r="333" customFormat="false" ht="15" hidden="false" customHeight="false" outlineLevel="0" collapsed="false">
      <c r="A333" s="0" t="s">
        <v>923</v>
      </c>
      <c r="B333" s="0" t="s">
        <v>922</v>
      </c>
      <c r="C333" s="0" t="s">
        <v>31</v>
      </c>
      <c r="D333" s="0" t="s">
        <v>132</v>
      </c>
      <c r="E333" s="0" t="s">
        <v>1311</v>
      </c>
      <c r="F333" s="0" t="s">
        <v>1312</v>
      </c>
      <c r="G333" s="0" t="s">
        <v>1313</v>
      </c>
    </row>
    <row r="334" customFormat="false" ht="15" hidden="false" customHeight="false" outlineLevel="0" collapsed="false">
      <c r="A334" s="0" t="s">
        <v>1079</v>
      </c>
      <c r="B334" s="0" t="s">
        <v>1078</v>
      </c>
      <c r="C334" s="0" t="s">
        <v>31</v>
      </c>
      <c r="D334" s="0" t="s">
        <v>132</v>
      </c>
      <c r="E334" s="0" t="s">
        <v>1311</v>
      </c>
      <c r="F334" s="0" t="s">
        <v>1312</v>
      </c>
      <c r="G334" s="0" t="s">
        <v>1313</v>
      </c>
    </row>
    <row r="335" customFormat="false" ht="15" hidden="false" customHeight="false" outlineLevel="0" collapsed="false">
      <c r="A335" s="0" t="s">
        <v>987</v>
      </c>
      <c r="B335" s="0" t="s">
        <v>986</v>
      </c>
      <c r="C335" s="0" t="s">
        <v>132</v>
      </c>
      <c r="D335" s="0" t="s">
        <v>1311</v>
      </c>
      <c r="E335" s="0" t="s">
        <v>1312</v>
      </c>
      <c r="F335" s="0" t="s">
        <v>1313</v>
      </c>
      <c r="G335" s="0" t="s">
        <v>1314</v>
      </c>
      <c r="H335" s="0" t="s">
        <v>1290</v>
      </c>
    </row>
    <row r="336" customFormat="false" ht="15" hidden="false" customHeight="false" outlineLevel="0" collapsed="false">
      <c r="A336" s="0" t="s">
        <v>145</v>
      </c>
      <c r="B336" s="0" t="s">
        <v>144</v>
      </c>
      <c r="C336" s="0" t="s">
        <v>31</v>
      </c>
      <c r="D336" s="0" t="s">
        <v>132</v>
      </c>
      <c r="E336" s="0" t="s">
        <v>1311</v>
      </c>
      <c r="F336" s="0" t="s">
        <v>1312</v>
      </c>
      <c r="G336" s="0" t="s">
        <v>1313</v>
      </c>
    </row>
    <row r="337" customFormat="false" ht="15" hidden="false" customHeight="false" outlineLevel="0" collapsed="false">
      <c r="A337" s="0" t="s">
        <v>261</v>
      </c>
      <c r="B337" s="0" t="s">
        <v>260</v>
      </c>
      <c r="C337" s="0" t="s">
        <v>31</v>
      </c>
      <c r="D337" s="0" t="s">
        <v>132</v>
      </c>
      <c r="E337" s="0" t="s">
        <v>1311</v>
      </c>
      <c r="F337" s="0" t="s">
        <v>1312</v>
      </c>
      <c r="G337" s="0" t="s">
        <v>1313</v>
      </c>
    </row>
    <row r="338" customFormat="false" ht="15" hidden="false" customHeight="false" outlineLevel="0" collapsed="false">
      <c r="A338" s="0" t="s">
        <v>702</v>
      </c>
      <c r="B338" s="0" t="s">
        <v>701</v>
      </c>
      <c r="C338" s="0" t="s">
        <v>38</v>
      </c>
      <c r="D338" s="0" t="s">
        <v>494</v>
      </c>
      <c r="E338" s="0" t="s">
        <v>1308</v>
      </c>
      <c r="F338" s="0" t="s">
        <v>1309</v>
      </c>
      <c r="G338" s="0" t="s">
        <v>1310</v>
      </c>
    </row>
    <row r="339" customFormat="false" ht="15" hidden="false" customHeight="false" outlineLevel="0" collapsed="false">
      <c r="A339" s="0" t="s">
        <v>795</v>
      </c>
      <c r="B339" s="0" t="s">
        <v>794</v>
      </c>
      <c r="C339" s="0" t="s">
        <v>31</v>
      </c>
      <c r="D339" s="0" t="s">
        <v>132</v>
      </c>
      <c r="E339" s="0" t="s">
        <v>1311</v>
      </c>
      <c r="F339" s="0" t="s">
        <v>1312</v>
      </c>
      <c r="G339" s="0" t="s">
        <v>1313</v>
      </c>
    </row>
    <row r="340" customFormat="false" ht="15" hidden="false" customHeight="false" outlineLevel="0" collapsed="false">
      <c r="A340" s="0" t="s">
        <v>1160</v>
      </c>
      <c r="B340" s="0" t="s">
        <v>1159</v>
      </c>
      <c r="C340" s="0" t="s">
        <v>31</v>
      </c>
      <c r="D340" s="0" t="s">
        <v>132</v>
      </c>
      <c r="E340" s="0" t="s">
        <v>1311</v>
      </c>
      <c r="F340" s="0" t="s">
        <v>1312</v>
      </c>
      <c r="G340" s="0" t="s">
        <v>1313</v>
      </c>
    </row>
    <row r="341" customFormat="false" ht="15" hidden="false" customHeight="false" outlineLevel="0" collapsed="false">
      <c r="A341" s="0" t="s">
        <v>827</v>
      </c>
      <c r="B341" s="0" t="s">
        <v>826</v>
      </c>
      <c r="C341" s="0" t="s">
        <v>31</v>
      </c>
      <c r="D341" s="0" t="s">
        <v>132</v>
      </c>
      <c r="E341" s="0" t="s">
        <v>1311</v>
      </c>
      <c r="F341" s="0" t="s">
        <v>1312</v>
      </c>
      <c r="G341" s="0" t="s">
        <v>1313</v>
      </c>
    </row>
    <row r="342" customFormat="false" ht="15" hidden="false" customHeight="false" outlineLevel="0" collapsed="false">
      <c r="A342" s="0" t="s">
        <v>448</v>
      </c>
      <c r="B342" s="0" t="s">
        <v>447</v>
      </c>
      <c r="C342" s="0" t="s">
        <v>31</v>
      </c>
      <c r="D342" s="0" t="s">
        <v>132</v>
      </c>
      <c r="E342" s="0" t="s">
        <v>1311</v>
      </c>
      <c r="F342" s="0" t="s">
        <v>1312</v>
      </c>
      <c r="G342" s="0" t="s">
        <v>1313</v>
      </c>
    </row>
    <row r="343" customFormat="false" ht="15" hidden="false" customHeight="false" outlineLevel="0" collapsed="false">
      <c r="A343" s="0" t="s">
        <v>634</v>
      </c>
      <c r="B343" s="0" t="s">
        <v>633</v>
      </c>
      <c r="C343" s="0" t="s">
        <v>31</v>
      </c>
      <c r="D343" s="0" t="s">
        <v>132</v>
      </c>
      <c r="E343" s="0" t="s">
        <v>1311</v>
      </c>
      <c r="F343" s="0" t="s">
        <v>1312</v>
      </c>
      <c r="G343" s="0" t="s">
        <v>1313</v>
      </c>
    </row>
    <row r="344" customFormat="false" ht="15" hidden="false" customHeight="false" outlineLevel="0" collapsed="false">
      <c r="A344" s="0" t="s">
        <v>632</v>
      </c>
      <c r="B344" s="0" t="s">
        <v>631</v>
      </c>
      <c r="C344" s="0" t="s">
        <v>31</v>
      </c>
      <c r="D344" s="0" t="s">
        <v>132</v>
      </c>
      <c r="E344" s="0" t="s">
        <v>1311</v>
      </c>
      <c r="F344" s="0" t="s">
        <v>1312</v>
      </c>
      <c r="G344" s="0" t="s">
        <v>1313</v>
      </c>
    </row>
    <row r="345" customFormat="false" ht="15" hidden="false" customHeight="false" outlineLevel="0" collapsed="false">
      <c r="A345" s="0" t="s">
        <v>451</v>
      </c>
      <c r="B345" s="0" t="s">
        <v>450</v>
      </c>
      <c r="C345" s="0" t="s">
        <v>31</v>
      </c>
      <c r="D345" s="0" t="s">
        <v>132</v>
      </c>
      <c r="E345" s="0" t="s">
        <v>1311</v>
      </c>
      <c r="F345" s="0" t="s">
        <v>1312</v>
      </c>
      <c r="G345" s="0" t="s">
        <v>1313</v>
      </c>
    </row>
    <row r="346" customFormat="false" ht="15" hidden="false" customHeight="false" outlineLevel="0" collapsed="false">
      <c r="A346" s="0" t="s">
        <v>929</v>
      </c>
      <c r="B346" s="0" t="s">
        <v>928</v>
      </c>
      <c r="C346" s="0" t="s">
        <v>31</v>
      </c>
      <c r="D346" s="0" t="s">
        <v>132</v>
      </c>
      <c r="E346" s="0" t="s">
        <v>1311</v>
      </c>
      <c r="F346" s="0" t="s">
        <v>1312</v>
      </c>
      <c r="G346" s="0" t="s">
        <v>1313</v>
      </c>
    </row>
    <row r="347" customFormat="false" ht="15" hidden="false" customHeight="false" outlineLevel="0" collapsed="false">
      <c r="A347" s="0" t="s">
        <v>620</v>
      </c>
      <c r="B347" s="0" t="s">
        <v>619</v>
      </c>
      <c r="C347" s="0" t="s">
        <v>31</v>
      </c>
      <c r="D347" s="0" t="s">
        <v>132</v>
      </c>
      <c r="E347" s="0" t="s">
        <v>1311</v>
      </c>
      <c r="F347" s="0" t="s">
        <v>1312</v>
      </c>
      <c r="G347" s="0" t="s">
        <v>1313</v>
      </c>
    </row>
    <row r="348" customFormat="false" ht="15" hidden="false" customHeight="false" outlineLevel="0" collapsed="false">
      <c r="A348" s="0" t="s">
        <v>484</v>
      </c>
      <c r="B348" s="0" t="s">
        <v>483</v>
      </c>
      <c r="C348" s="0" t="s">
        <v>31</v>
      </c>
      <c r="D348" s="0" t="s">
        <v>132</v>
      </c>
      <c r="E348" s="0" t="s">
        <v>1311</v>
      </c>
      <c r="F348" s="0" t="s">
        <v>1312</v>
      </c>
      <c r="G348" s="0" t="s">
        <v>1313</v>
      </c>
    </row>
    <row r="349" customFormat="false" ht="15" hidden="false" customHeight="false" outlineLevel="0" collapsed="false">
      <c r="A349" s="0" t="s">
        <v>335</v>
      </c>
      <c r="B349" s="0" t="s">
        <v>334</v>
      </c>
      <c r="C349" s="0" t="s">
        <v>31</v>
      </c>
      <c r="D349" s="0" t="s">
        <v>132</v>
      </c>
      <c r="E349" s="0" t="s">
        <v>1311</v>
      </c>
      <c r="F349" s="0" t="s">
        <v>1312</v>
      </c>
      <c r="G349" s="0" t="s">
        <v>1313</v>
      </c>
    </row>
    <row r="350" customFormat="false" ht="15" hidden="false" customHeight="false" outlineLevel="0" collapsed="false">
      <c r="A350" s="0" t="s">
        <v>735</v>
      </c>
      <c r="B350" s="0" t="s">
        <v>734</v>
      </c>
      <c r="C350" s="0" t="s">
        <v>65</v>
      </c>
      <c r="D350" s="0" t="s">
        <v>1315</v>
      </c>
      <c r="E350" s="0" t="s">
        <v>1213</v>
      </c>
      <c r="F350" s="0" t="s">
        <v>1316</v>
      </c>
      <c r="G350" s="0" t="s">
        <v>1317</v>
      </c>
    </row>
    <row r="351" customFormat="false" ht="15" hidden="false" customHeight="false" outlineLevel="0" collapsed="false">
      <c r="A351" s="0" t="s">
        <v>809</v>
      </c>
      <c r="B351" s="0" t="s">
        <v>808</v>
      </c>
      <c r="C351" s="0" t="s">
        <v>31</v>
      </c>
      <c r="D351" s="0" t="s">
        <v>132</v>
      </c>
      <c r="E351" s="0" t="s">
        <v>1311</v>
      </c>
      <c r="F351" s="0" t="s">
        <v>1312</v>
      </c>
      <c r="G351" s="0" t="s">
        <v>1313</v>
      </c>
    </row>
    <row r="352" customFormat="false" ht="15" hidden="false" customHeight="false" outlineLevel="0" collapsed="false">
      <c r="A352" s="0" t="s">
        <v>997</v>
      </c>
      <c r="B352" s="0" t="s">
        <v>996</v>
      </c>
      <c r="C352" s="0" t="s">
        <v>31</v>
      </c>
      <c r="D352" s="0" t="s">
        <v>132</v>
      </c>
      <c r="E352" s="0" t="s">
        <v>1311</v>
      </c>
      <c r="F352" s="0" t="s">
        <v>1312</v>
      </c>
      <c r="G352" s="0" t="s">
        <v>1313</v>
      </c>
    </row>
    <row r="353" customFormat="false" ht="15" hidden="false" customHeight="false" outlineLevel="0" collapsed="false">
      <c r="A353" s="0" t="s">
        <v>917</v>
      </c>
      <c r="B353" s="0" t="s">
        <v>916</v>
      </c>
      <c r="C353" s="0" t="s">
        <v>31</v>
      </c>
      <c r="D353" s="0" t="s">
        <v>132</v>
      </c>
      <c r="E353" s="0" t="s">
        <v>1311</v>
      </c>
      <c r="F353" s="0" t="s">
        <v>1312</v>
      </c>
      <c r="G353" s="0" t="s">
        <v>1313</v>
      </c>
    </row>
    <row r="354" customFormat="false" ht="15" hidden="false" customHeight="false" outlineLevel="0" collapsed="false">
      <c r="A354" s="0" t="s">
        <v>640</v>
      </c>
      <c r="B354" s="0" t="s">
        <v>639</v>
      </c>
      <c r="C354" s="0" t="s">
        <v>31</v>
      </c>
      <c r="D354" s="0" t="s">
        <v>132</v>
      </c>
      <c r="E354" s="0" t="s">
        <v>1311</v>
      </c>
      <c r="F354" s="0" t="s">
        <v>1312</v>
      </c>
      <c r="G354" s="0" t="s">
        <v>1313</v>
      </c>
    </row>
    <row r="355" customFormat="false" ht="15" hidden="false" customHeight="false" outlineLevel="0" collapsed="false">
      <c r="A355" s="0" t="s">
        <v>82</v>
      </c>
      <c r="B355" s="0" t="s">
        <v>81</v>
      </c>
      <c r="C355" s="0" t="s">
        <v>31</v>
      </c>
      <c r="D355" s="0" t="s">
        <v>132</v>
      </c>
      <c r="E355" s="0" t="s">
        <v>1311</v>
      </c>
      <c r="F355" s="0" t="s">
        <v>1312</v>
      </c>
      <c r="G355" s="0" t="s">
        <v>1313</v>
      </c>
    </row>
    <row r="356" customFormat="false" ht="15" hidden="false" customHeight="false" outlineLevel="0" collapsed="false">
      <c r="A356" s="0" t="s">
        <v>885</v>
      </c>
      <c r="B356" s="0" t="s">
        <v>884</v>
      </c>
      <c r="C356" s="0" t="s">
        <v>31</v>
      </c>
      <c r="D356" s="0" t="s">
        <v>132</v>
      </c>
      <c r="E356" s="0" t="s">
        <v>1311</v>
      </c>
      <c r="F356" s="0" t="s">
        <v>1312</v>
      </c>
      <c r="G356" s="0" t="s">
        <v>1313</v>
      </c>
    </row>
    <row r="357" customFormat="false" ht="15" hidden="false" customHeight="false" outlineLevel="0" collapsed="false">
      <c r="A357" s="0" t="s">
        <v>561</v>
      </c>
      <c r="B357" s="0" t="s">
        <v>560</v>
      </c>
      <c r="C357" s="0" t="s">
        <v>38</v>
      </c>
      <c r="D357" s="0" t="s">
        <v>494</v>
      </c>
      <c r="E357" s="0" t="s">
        <v>1308</v>
      </c>
      <c r="F357" s="0" t="s">
        <v>1309</v>
      </c>
      <c r="G357" s="0" t="s">
        <v>1310</v>
      </c>
    </row>
    <row r="358" customFormat="false" ht="15" hidden="false" customHeight="false" outlineLevel="0" collapsed="false">
      <c r="A358" s="0" t="s">
        <v>1156</v>
      </c>
      <c r="B358" s="0" t="s">
        <v>1155</v>
      </c>
      <c r="C358" s="0" t="s">
        <v>31</v>
      </c>
      <c r="D358" s="0" t="s">
        <v>132</v>
      </c>
      <c r="E358" s="0" t="s">
        <v>1311</v>
      </c>
      <c r="F358" s="0" t="s">
        <v>1312</v>
      </c>
      <c r="G358" s="0" t="s">
        <v>1313</v>
      </c>
    </row>
    <row r="359" customFormat="false" ht="15" hidden="false" customHeight="false" outlineLevel="0" collapsed="false">
      <c r="A359" s="0" t="s">
        <v>1217</v>
      </c>
      <c r="B359" s="0" t="s">
        <v>1216</v>
      </c>
      <c r="C359" s="0" t="s">
        <v>31</v>
      </c>
      <c r="D359" s="0" t="s">
        <v>132</v>
      </c>
      <c r="E359" s="0" t="s">
        <v>1311</v>
      </c>
      <c r="F359" s="0" t="s">
        <v>1312</v>
      </c>
      <c r="G359" s="0" t="s">
        <v>1313</v>
      </c>
    </row>
    <row r="360" customFormat="false" ht="15" hidden="false" customHeight="false" outlineLevel="0" collapsed="false">
      <c r="A360" s="0" t="s">
        <v>139</v>
      </c>
      <c r="B360" s="0" t="s">
        <v>138</v>
      </c>
      <c r="C360" s="0" t="s">
        <v>31</v>
      </c>
      <c r="D360" s="0" t="s">
        <v>132</v>
      </c>
      <c r="E360" s="0" t="s">
        <v>1311</v>
      </c>
      <c r="F360" s="0" t="s">
        <v>1312</v>
      </c>
      <c r="G360" s="0" t="s">
        <v>1313</v>
      </c>
    </row>
    <row r="361" customFormat="false" ht="15" hidden="false" customHeight="false" outlineLevel="0" collapsed="false">
      <c r="A361" s="0" t="s">
        <v>517</v>
      </c>
      <c r="B361" s="0" t="s">
        <v>516</v>
      </c>
      <c r="C361" s="0" t="s">
        <v>31</v>
      </c>
      <c r="D361" s="0" t="s">
        <v>132</v>
      </c>
      <c r="E361" s="0" t="s">
        <v>1311</v>
      </c>
      <c r="F361" s="0" t="s">
        <v>1312</v>
      </c>
      <c r="G361" s="0" t="s">
        <v>1313</v>
      </c>
    </row>
    <row r="362" customFormat="false" ht="15" hidden="false" customHeight="false" outlineLevel="0" collapsed="false">
      <c r="A362" s="0" t="s">
        <v>1108</v>
      </c>
      <c r="B362" s="0" t="s">
        <v>1107</v>
      </c>
      <c r="C362" s="0" t="s">
        <v>31</v>
      </c>
      <c r="D362" s="0" t="s">
        <v>132</v>
      </c>
      <c r="E362" s="0" t="s">
        <v>1311</v>
      </c>
      <c r="F362" s="0" t="s">
        <v>1312</v>
      </c>
      <c r="G362" s="0" t="s">
        <v>1313</v>
      </c>
    </row>
    <row r="363" customFormat="false" ht="15" hidden="false" customHeight="false" outlineLevel="0" collapsed="false">
      <c r="A363" s="0" t="s">
        <v>759</v>
      </c>
      <c r="B363" s="0" t="s">
        <v>758</v>
      </c>
      <c r="C363" s="0" t="s">
        <v>31</v>
      </c>
      <c r="D363" s="0" t="s">
        <v>132</v>
      </c>
      <c r="E363" s="0" t="s">
        <v>1311</v>
      </c>
      <c r="F363" s="0" t="s">
        <v>1312</v>
      </c>
      <c r="G363" s="0" t="s">
        <v>1313</v>
      </c>
    </row>
    <row r="364" customFormat="false" ht="15" hidden="false" customHeight="false" outlineLevel="0" collapsed="false">
      <c r="A364" s="0" t="s">
        <v>901</v>
      </c>
      <c r="B364" s="0" t="s">
        <v>900</v>
      </c>
      <c r="C364" s="0" t="s">
        <v>31</v>
      </c>
      <c r="D364" s="0" t="s">
        <v>132</v>
      </c>
      <c r="E364" s="0" t="s">
        <v>1311</v>
      </c>
      <c r="F364" s="0" t="s">
        <v>1312</v>
      </c>
      <c r="G364" s="0" t="s">
        <v>1313</v>
      </c>
    </row>
    <row r="365" customFormat="false" ht="15" hidden="false" customHeight="false" outlineLevel="0" collapsed="false">
      <c r="A365" s="0" t="s">
        <v>1073</v>
      </c>
      <c r="B365" s="0" t="s">
        <v>1072</v>
      </c>
      <c r="C365" s="0" t="s">
        <v>38</v>
      </c>
      <c r="D365" s="0" t="s">
        <v>494</v>
      </c>
      <c r="E365" s="0" t="s">
        <v>1308</v>
      </c>
      <c r="F365" s="0" t="s">
        <v>1309</v>
      </c>
      <c r="G365" s="0" t="s">
        <v>1310</v>
      </c>
    </row>
    <row r="366" customFormat="false" ht="15" hidden="false" customHeight="false" outlineLevel="0" collapsed="false">
      <c r="A366" s="0" t="s">
        <v>1049</v>
      </c>
      <c r="B366" s="0" t="s">
        <v>1048</v>
      </c>
      <c r="C366" s="0" t="s">
        <v>31</v>
      </c>
      <c r="D366" s="0" t="s">
        <v>132</v>
      </c>
      <c r="E366" s="0" t="s">
        <v>1311</v>
      </c>
      <c r="F366" s="0" t="s">
        <v>1312</v>
      </c>
      <c r="G366" s="0" t="s">
        <v>1313</v>
      </c>
    </row>
    <row r="367" customFormat="false" ht="15" hidden="false" customHeight="false" outlineLevel="0" collapsed="false">
      <c r="A367" s="0" t="s">
        <v>1043</v>
      </c>
      <c r="B367" s="0" t="s">
        <v>1042</v>
      </c>
      <c r="C367" s="0" t="s">
        <v>31</v>
      </c>
      <c r="D367" s="0" t="s">
        <v>132</v>
      </c>
      <c r="E367" s="0" t="s">
        <v>1311</v>
      </c>
      <c r="F367" s="0" t="s">
        <v>1312</v>
      </c>
      <c r="G367" s="0" t="s">
        <v>1313</v>
      </c>
    </row>
    <row r="368" customFormat="false" ht="15" hidden="false" customHeight="false" outlineLevel="0" collapsed="false">
      <c r="A368" s="0" t="s">
        <v>881</v>
      </c>
      <c r="B368" s="0" t="s">
        <v>880</v>
      </c>
      <c r="C368" s="0" t="s">
        <v>31</v>
      </c>
      <c r="D368" s="0" t="s">
        <v>132</v>
      </c>
      <c r="E368" s="0" t="s">
        <v>1311</v>
      </c>
      <c r="F368" s="0" t="s">
        <v>1312</v>
      </c>
      <c r="G368" s="0" t="s">
        <v>1313</v>
      </c>
    </row>
    <row r="369" customFormat="false" ht="15" hidden="false" customHeight="false" outlineLevel="0" collapsed="false">
      <c r="A369" s="0" t="s">
        <v>243</v>
      </c>
      <c r="B369" s="0" t="s">
        <v>242</v>
      </c>
      <c r="C369" s="0" t="s">
        <v>65</v>
      </c>
      <c r="D369" s="0" t="s">
        <v>1315</v>
      </c>
      <c r="E369" s="0" t="s">
        <v>1213</v>
      </c>
      <c r="F369" s="0" t="s">
        <v>1316</v>
      </c>
      <c r="G369" s="0" t="s">
        <v>1317</v>
      </c>
      <c r="H369" s="0" t="s">
        <v>1292</v>
      </c>
    </row>
    <row r="370" customFormat="false" ht="15" hidden="false" customHeight="false" outlineLevel="0" collapsed="false">
      <c r="A370" s="0" t="s">
        <v>941</v>
      </c>
      <c r="B370" s="0" t="s">
        <v>940</v>
      </c>
      <c r="C370" s="0" t="s">
        <v>31</v>
      </c>
      <c r="D370" s="0" t="s">
        <v>132</v>
      </c>
      <c r="E370" s="0" t="s">
        <v>1311</v>
      </c>
      <c r="F370" s="0" t="s">
        <v>1312</v>
      </c>
      <c r="G370" s="0" t="s">
        <v>1313</v>
      </c>
    </row>
    <row r="371" customFormat="false" ht="15" hidden="false" customHeight="false" outlineLevel="0" collapsed="false">
      <c r="A371" s="0" t="s">
        <v>835</v>
      </c>
      <c r="B371" s="0" t="s">
        <v>834</v>
      </c>
      <c r="C371" s="0" t="s">
        <v>31</v>
      </c>
      <c r="D371" s="0" t="s">
        <v>132</v>
      </c>
      <c r="E371" s="0" t="s">
        <v>1311</v>
      </c>
      <c r="F371" s="0" t="s">
        <v>1312</v>
      </c>
      <c r="G371" s="0" t="s">
        <v>1313</v>
      </c>
    </row>
    <row r="372" customFormat="false" ht="15" hidden="false" customHeight="false" outlineLevel="0" collapsed="false">
      <c r="A372" s="0" t="s">
        <v>125</v>
      </c>
      <c r="B372" s="0" t="s">
        <v>124</v>
      </c>
      <c r="C372" s="0" t="s">
        <v>31</v>
      </c>
      <c r="D372" s="0" t="s">
        <v>132</v>
      </c>
      <c r="E372" s="0" t="s">
        <v>1311</v>
      </c>
      <c r="F372" s="0" t="s">
        <v>1312</v>
      </c>
      <c r="G372" s="0" t="s">
        <v>1313</v>
      </c>
    </row>
    <row r="373" customFormat="false" ht="15" hidden="false" customHeight="false" outlineLevel="0" collapsed="false">
      <c r="A373" s="0" t="s">
        <v>805</v>
      </c>
      <c r="B373" s="0" t="s">
        <v>804</v>
      </c>
      <c r="C373" s="0" t="s">
        <v>31</v>
      </c>
      <c r="D373" s="0" t="s">
        <v>132</v>
      </c>
      <c r="E373" s="0" t="s">
        <v>1311</v>
      </c>
      <c r="F373" s="0" t="s">
        <v>1312</v>
      </c>
      <c r="G373" s="0" t="s">
        <v>1313</v>
      </c>
    </row>
    <row r="374" customFormat="false" ht="15" hidden="false" customHeight="false" outlineLevel="0" collapsed="false">
      <c r="A374" s="0" t="s">
        <v>195</v>
      </c>
      <c r="B374" s="0" t="s">
        <v>194</v>
      </c>
      <c r="C374" s="0" t="s">
        <v>31</v>
      </c>
      <c r="D374" s="0" t="s">
        <v>132</v>
      </c>
      <c r="E374" s="0" t="s">
        <v>1311</v>
      </c>
      <c r="F374" s="0" t="s">
        <v>1312</v>
      </c>
      <c r="G374" s="0" t="s">
        <v>1313</v>
      </c>
    </row>
    <row r="375" customFormat="false" ht="15" hidden="false" customHeight="false" outlineLevel="0" collapsed="false">
      <c r="A375" s="0" t="s">
        <v>308</v>
      </c>
      <c r="B375" s="0" t="s">
        <v>307</v>
      </c>
      <c r="C375" s="0" t="s">
        <v>31</v>
      </c>
      <c r="D375" s="0" t="s">
        <v>132</v>
      </c>
      <c r="E375" s="0" t="s">
        <v>1311</v>
      </c>
      <c r="F375" s="0" t="s">
        <v>1312</v>
      </c>
      <c r="G375" s="0" t="s">
        <v>1313</v>
      </c>
    </row>
    <row r="376" customFormat="false" ht="15" hidden="false" customHeight="false" outlineLevel="0" collapsed="false">
      <c r="A376" s="0" t="s">
        <v>436</v>
      </c>
      <c r="B376" s="0" t="s">
        <v>435</v>
      </c>
      <c r="C376" s="0" t="s">
        <v>31</v>
      </c>
      <c r="D376" s="0" t="s">
        <v>132</v>
      </c>
      <c r="E376" s="0" t="s">
        <v>1311</v>
      </c>
      <c r="F376" s="0" t="s">
        <v>1312</v>
      </c>
      <c r="G376" s="0" t="s">
        <v>1313</v>
      </c>
    </row>
    <row r="377" customFormat="false" ht="15" hidden="false" customHeight="false" outlineLevel="0" collapsed="false">
      <c r="A377" s="0" t="s">
        <v>439</v>
      </c>
      <c r="B377" s="0" t="s">
        <v>438</v>
      </c>
      <c r="C377" s="0" t="s">
        <v>132</v>
      </c>
      <c r="D377" s="0" t="s">
        <v>1311</v>
      </c>
      <c r="E377" s="0" t="s">
        <v>1312</v>
      </c>
      <c r="F377" s="0" t="s">
        <v>1313</v>
      </c>
      <c r="G377" s="0" t="s">
        <v>1314</v>
      </c>
    </row>
    <row r="378" customFormat="false" ht="15" hidden="false" customHeight="false" outlineLevel="0" collapsed="false">
      <c r="A378" s="0" t="s">
        <v>59</v>
      </c>
      <c r="B378" s="0" t="s">
        <v>58</v>
      </c>
      <c r="C378" s="0" t="s">
        <v>38</v>
      </c>
      <c r="D378" s="0" t="s">
        <v>494</v>
      </c>
      <c r="E378" s="0" t="s">
        <v>1308</v>
      </c>
      <c r="F378" s="0" t="s">
        <v>1309</v>
      </c>
      <c r="G378" s="0" t="s">
        <v>1310</v>
      </c>
    </row>
    <row r="379" customFormat="false" ht="15" hidden="false" customHeight="false" outlineLevel="0" collapsed="false">
      <c r="A379" s="0" t="s">
        <v>320</v>
      </c>
      <c r="B379" s="0" t="s">
        <v>319</v>
      </c>
      <c r="C379" s="0" t="s">
        <v>31</v>
      </c>
      <c r="D379" s="0" t="s">
        <v>132</v>
      </c>
      <c r="E379" s="0" t="s">
        <v>1311</v>
      </c>
      <c r="F379" s="0" t="s">
        <v>1312</v>
      </c>
      <c r="G379" s="0" t="s">
        <v>1313</v>
      </c>
    </row>
    <row r="380" customFormat="false" ht="15" hidden="false" customHeight="false" outlineLevel="0" collapsed="false">
      <c r="A380" s="0" t="s">
        <v>1182</v>
      </c>
      <c r="B380" s="0" t="s">
        <v>1181</v>
      </c>
      <c r="C380" s="0" t="s">
        <v>38</v>
      </c>
      <c r="D380" s="0" t="s">
        <v>494</v>
      </c>
      <c r="E380" s="0" t="s">
        <v>1308</v>
      </c>
      <c r="F380" s="0" t="s">
        <v>1309</v>
      </c>
      <c r="G380" s="0" t="s">
        <v>1310</v>
      </c>
    </row>
    <row r="381" customFormat="false" ht="15" hidden="false" customHeight="false" outlineLevel="0" collapsed="false">
      <c r="A381" s="0" t="s">
        <v>302</v>
      </c>
      <c r="B381" s="0" t="s">
        <v>301</v>
      </c>
      <c r="C381" s="0" t="s">
        <v>31</v>
      </c>
      <c r="D381" s="0" t="s">
        <v>132</v>
      </c>
      <c r="E381" s="0" t="s">
        <v>1311</v>
      </c>
      <c r="F381" s="0" t="s">
        <v>1312</v>
      </c>
      <c r="G381" s="0" t="s">
        <v>1313</v>
      </c>
    </row>
    <row r="382" customFormat="false" ht="15" hidden="false" customHeight="false" outlineLevel="0" collapsed="false">
      <c r="A382" s="0" t="s">
        <v>1140</v>
      </c>
      <c r="B382" s="0" t="s">
        <v>1139</v>
      </c>
      <c r="C382" s="0" t="s">
        <v>31</v>
      </c>
      <c r="D382" s="0" t="s">
        <v>132</v>
      </c>
      <c r="E382" s="0" t="s">
        <v>1311</v>
      </c>
      <c r="F382" s="0" t="s">
        <v>1312</v>
      </c>
      <c r="G382" s="0" t="s">
        <v>1313</v>
      </c>
    </row>
    <row r="383" customFormat="false" ht="15" hidden="false" customHeight="false" outlineLevel="0" collapsed="false">
      <c r="A383" s="0" t="s">
        <v>162</v>
      </c>
      <c r="B383" s="0" t="s">
        <v>161</v>
      </c>
      <c r="C383" s="0" t="s">
        <v>31</v>
      </c>
      <c r="D383" s="0" t="s">
        <v>132</v>
      </c>
      <c r="E383" s="0" t="s">
        <v>1311</v>
      </c>
      <c r="F383" s="0" t="s">
        <v>1312</v>
      </c>
      <c r="G383" s="0" t="s">
        <v>1313</v>
      </c>
    </row>
    <row r="384" customFormat="false" ht="15" hidden="false" customHeight="false" outlineLevel="0" collapsed="false">
      <c r="A384" s="0" t="s">
        <v>74</v>
      </c>
      <c r="B384" s="0" t="s">
        <v>73</v>
      </c>
      <c r="C384" s="0" t="s">
        <v>31</v>
      </c>
      <c r="D384" s="0" t="s">
        <v>132</v>
      </c>
      <c r="E384" s="0" t="s">
        <v>1311</v>
      </c>
      <c r="F384" s="0" t="s">
        <v>1312</v>
      </c>
      <c r="G384" s="0" t="s">
        <v>1313</v>
      </c>
    </row>
    <row r="385" customFormat="false" ht="15" hidden="false" customHeight="false" outlineLevel="0" collapsed="false">
      <c r="A385" s="0" t="s">
        <v>469</v>
      </c>
      <c r="B385" s="0" t="s">
        <v>468</v>
      </c>
      <c r="C385" s="0" t="s">
        <v>31</v>
      </c>
      <c r="D385" s="0" t="s">
        <v>132</v>
      </c>
      <c r="E385" s="0" t="s">
        <v>1311</v>
      </c>
      <c r="F385" s="0" t="s">
        <v>1312</v>
      </c>
      <c r="G385" s="0" t="s">
        <v>1313</v>
      </c>
    </row>
    <row r="386" customFormat="false" ht="15" hidden="false" customHeight="false" outlineLevel="0" collapsed="false">
      <c r="A386" s="0" t="s">
        <v>1102</v>
      </c>
      <c r="B386" s="0" t="s">
        <v>1101</v>
      </c>
      <c r="C386" s="0" t="s">
        <v>31</v>
      </c>
      <c r="D386" s="0" t="s">
        <v>132</v>
      </c>
      <c r="E386" s="0" t="s">
        <v>1311</v>
      </c>
      <c r="F386" s="0" t="s">
        <v>1312</v>
      </c>
      <c r="G386" s="0" t="s">
        <v>1313</v>
      </c>
    </row>
    <row r="387" customFormat="false" ht="15" hidden="false" customHeight="false" outlineLevel="0" collapsed="false">
      <c r="A387" s="0" t="s">
        <v>983</v>
      </c>
      <c r="B387" s="0" t="s">
        <v>982</v>
      </c>
      <c r="C387" s="0" t="s">
        <v>31</v>
      </c>
      <c r="D387" s="0" t="s">
        <v>132</v>
      </c>
      <c r="E387" s="0" t="s">
        <v>1311</v>
      </c>
      <c r="F387" s="0" t="s">
        <v>1312</v>
      </c>
      <c r="G387" s="0" t="s">
        <v>1313</v>
      </c>
    </row>
    <row r="388" customFormat="false" ht="15" hidden="false" customHeight="false" outlineLevel="0" collapsed="false">
      <c r="A388" s="0" t="s">
        <v>1166</v>
      </c>
      <c r="B388" s="0" t="s">
        <v>1165</v>
      </c>
      <c r="C388" s="0" t="s">
        <v>31</v>
      </c>
      <c r="D388" s="0" t="s">
        <v>132</v>
      </c>
      <c r="E388" s="0" t="s">
        <v>1311</v>
      </c>
      <c r="F388" s="0" t="s">
        <v>1312</v>
      </c>
      <c r="G388" s="0" t="s">
        <v>1313</v>
      </c>
    </row>
    <row r="389" customFormat="false" ht="15" hidden="false" customHeight="false" outlineLevel="0" collapsed="false">
      <c r="A389" s="0" t="s">
        <v>1037</v>
      </c>
      <c r="B389" s="0" t="s">
        <v>1036</v>
      </c>
      <c r="C389" s="0" t="s">
        <v>31</v>
      </c>
      <c r="D389" s="0" t="s">
        <v>132</v>
      </c>
      <c r="E389" s="0" t="s">
        <v>1311</v>
      </c>
      <c r="F389" s="0" t="s">
        <v>1312</v>
      </c>
      <c r="G389" s="0" t="s">
        <v>1313</v>
      </c>
    </row>
    <row r="390" customFormat="false" ht="15" hidden="false" customHeight="false" outlineLevel="0" collapsed="false">
      <c r="A390" s="0" t="s">
        <v>362</v>
      </c>
      <c r="B390" s="0" t="s">
        <v>361</v>
      </c>
      <c r="C390" s="0" t="s">
        <v>31</v>
      </c>
      <c r="D390" s="0" t="s">
        <v>132</v>
      </c>
      <c r="E390" s="0" t="s">
        <v>1311</v>
      </c>
      <c r="F390" s="0" t="s">
        <v>1312</v>
      </c>
      <c r="G390" s="0" t="s">
        <v>1313</v>
      </c>
    </row>
    <row r="391" customFormat="false" ht="15" hidden="false" customHeight="false" outlineLevel="0" collapsed="false">
      <c r="A391" s="0" t="s">
        <v>863</v>
      </c>
      <c r="B391" s="0" t="s">
        <v>862</v>
      </c>
      <c r="C391" s="0" t="s">
        <v>31</v>
      </c>
      <c r="D391" s="0" t="s">
        <v>132</v>
      </c>
      <c r="E391" s="0" t="s">
        <v>1311</v>
      </c>
      <c r="F391" s="0" t="s">
        <v>1312</v>
      </c>
      <c r="G391" s="0" t="s">
        <v>1313</v>
      </c>
    </row>
    <row r="392" customFormat="false" ht="15" hidden="false" customHeight="false" outlineLevel="0" collapsed="false">
      <c r="A392" s="0" t="s">
        <v>668</v>
      </c>
      <c r="B392" s="0" t="s">
        <v>667</v>
      </c>
      <c r="C392" s="0" t="s">
        <v>31</v>
      </c>
      <c r="D392" s="0" t="s">
        <v>132</v>
      </c>
      <c r="E392" s="0" t="s">
        <v>1311</v>
      </c>
      <c r="F392" s="0" t="s">
        <v>1312</v>
      </c>
      <c r="G392" s="0" t="s">
        <v>1313</v>
      </c>
    </row>
    <row r="393" customFormat="false" ht="15" hidden="false" customHeight="false" outlineLevel="0" collapsed="false">
      <c r="A393" s="0" t="s">
        <v>841</v>
      </c>
      <c r="B393" s="0" t="s">
        <v>840</v>
      </c>
      <c r="C393" s="0" t="s">
        <v>132</v>
      </c>
      <c r="D393" s="0" t="s">
        <v>1311</v>
      </c>
      <c r="E393" s="0" t="s">
        <v>1312</v>
      </c>
      <c r="F393" s="0" t="s">
        <v>1313</v>
      </c>
      <c r="G393" s="0" t="s">
        <v>1314</v>
      </c>
      <c r="H393" s="0" t="s">
        <v>1290</v>
      </c>
    </row>
    <row r="394" customFormat="false" ht="15" hidden="false" customHeight="false" outlineLevel="0" collapsed="false">
      <c r="A394" s="0" t="s">
        <v>696</v>
      </c>
      <c r="B394" s="0" t="s">
        <v>695</v>
      </c>
      <c r="C394" s="0" t="s">
        <v>38</v>
      </c>
      <c r="D394" s="0" t="s">
        <v>494</v>
      </c>
      <c r="E394" s="0" t="s">
        <v>1308</v>
      </c>
      <c r="F394" s="0" t="s">
        <v>1309</v>
      </c>
      <c r="G394" s="0" t="s">
        <v>1310</v>
      </c>
    </row>
    <row r="395" customFormat="false" ht="15" hidden="false" customHeight="false" outlineLevel="0" collapsed="false">
      <c r="A395" s="0" t="s">
        <v>787</v>
      </c>
      <c r="B395" s="0" t="s">
        <v>786</v>
      </c>
      <c r="C395" s="0" t="s">
        <v>31</v>
      </c>
      <c r="D395" s="0" t="s">
        <v>132</v>
      </c>
      <c r="E395" s="0" t="s">
        <v>1311</v>
      </c>
      <c r="F395" s="0" t="s">
        <v>1312</v>
      </c>
      <c r="G395" s="0" t="s">
        <v>1313</v>
      </c>
    </row>
    <row r="396" customFormat="false" ht="15" hidden="false" customHeight="false" outlineLevel="0" collapsed="false">
      <c r="A396" s="0" t="s">
        <v>580</v>
      </c>
      <c r="B396" s="0" t="s">
        <v>579</v>
      </c>
      <c r="C396" s="0" t="s">
        <v>31</v>
      </c>
      <c r="D396" s="0" t="s">
        <v>132</v>
      </c>
      <c r="E396" s="0" t="s">
        <v>1311</v>
      </c>
      <c r="F396" s="0" t="s">
        <v>1312</v>
      </c>
      <c r="G396" s="0" t="s">
        <v>1313</v>
      </c>
    </row>
    <row r="397" customFormat="false" ht="15" hidden="false" customHeight="false" outlineLevel="0" collapsed="false">
      <c r="A397" s="0" t="s">
        <v>1100</v>
      </c>
      <c r="B397" s="0" t="s">
        <v>1099</v>
      </c>
      <c r="C397" s="0" t="s">
        <v>31</v>
      </c>
      <c r="D397" s="0" t="s">
        <v>132</v>
      </c>
      <c r="E397" s="0" t="s">
        <v>1311</v>
      </c>
      <c r="F397" s="0" t="s">
        <v>1312</v>
      </c>
      <c r="G397" s="0" t="s">
        <v>1313</v>
      </c>
    </row>
    <row r="398" customFormat="false" ht="15" hidden="false" customHeight="false" outlineLevel="0" collapsed="false">
      <c r="A398" s="0" t="s">
        <v>650</v>
      </c>
      <c r="B398" s="0" t="s">
        <v>649</v>
      </c>
      <c r="C398" s="0" t="s">
        <v>65</v>
      </c>
      <c r="D398" s="0" t="s">
        <v>1315</v>
      </c>
      <c r="E398" s="0" t="s">
        <v>1213</v>
      </c>
      <c r="F398" s="0" t="s">
        <v>1316</v>
      </c>
      <c r="G398" s="0" t="s">
        <v>1317</v>
      </c>
    </row>
    <row r="399" customFormat="false" ht="15" hidden="false" customHeight="false" outlineLevel="0" collapsed="false">
      <c r="A399" s="0" t="s">
        <v>106</v>
      </c>
      <c r="B399" s="0" t="s">
        <v>105</v>
      </c>
      <c r="C399" s="0" t="s">
        <v>31</v>
      </c>
      <c r="D399" s="0" t="s">
        <v>132</v>
      </c>
      <c r="E399" s="0" t="s">
        <v>1311</v>
      </c>
      <c r="F399" s="0" t="s">
        <v>1312</v>
      </c>
      <c r="G399" s="0" t="s">
        <v>1313</v>
      </c>
    </row>
    <row r="400" customFormat="false" ht="15" hidden="false" customHeight="false" outlineLevel="0" collapsed="false">
      <c r="A400" s="0" t="s">
        <v>1061</v>
      </c>
      <c r="B400" s="0" t="s">
        <v>1060</v>
      </c>
      <c r="C400" s="0" t="s">
        <v>31</v>
      </c>
      <c r="D400" s="0" t="s">
        <v>132</v>
      </c>
      <c r="E400" s="0" t="s">
        <v>1311</v>
      </c>
      <c r="F400" s="0" t="s">
        <v>1312</v>
      </c>
      <c r="G400" s="0" t="s">
        <v>1313</v>
      </c>
    </row>
    <row r="401" customFormat="false" ht="15" hidden="false" customHeight="false" outlineLevel="0" collapsed="false">
      <c r="A401" s="0" t="s">
        <v>624</v>
      </c>
      <c r="B401" s="0" t="s">
        <v>623</v>
      </c>
      <c r="C401" s="0" t="s">
        <v>31</v>
      </c>
      <c r="D401" s="0" t="s">
        <v>132</v>
      </c>
      <c r="E401" s="0" t="s">
        <v>1311</v>
      </c>
      <c r="F401" s="0" t="s">
        <v>1312</v>
      </c>
      <c r="G401" s="0" t="s">
        <v>1313</v>
      </c>
    </row>
    <row r="402" customFormat="false" ht="15" hidden="false" customHeight="false" outlineLevel="0" collapsed="false">
      <c r="A402" s="0" t="s">
        <v>388</v>
      </c>
      <c r="B402" s="0" t="s">
        <v>387</v>
      </c>
      <c r="C402" s="0" t="s">
        <v>31</v>
      </c>
      <c r="D402" s="0" t="s">
        <v>132</v>
      </c>
      <c r="E402" s="0" t="s">
        <v>1311</v>
      </c>
      <c r="F402" s="0" t="s">
        <v>1312</v>
      </c>
      <c r="G402" s="0" t="s">
        <v>1313</v>
      </c>
    </row>
    <row r="403" customFormat="false" ht="15" hidden="false" customHeight="false" outlineLevel="0" collapsed="false">
      <c r="A403" s="0" t="s">
        <v>1190</v>
      </c>
      <c r="B403" s="0" t="s">
        <v>1189</v>
      </c>
      <c r="C403" s="0" t="s">
        <v>31</v>
      </c>
      <c r="D403" s="0" t="s">
        <v>132</v>
      </c>
      <c r="E403" s="0" t="s">
        <v>1311</v>
      </c>
      <c r="F403" s="0" t="s">
        <v>1312</v>
      </c>
      <c r="G403" s="0" t="s">
        <v>1313</v>
      </c>
    </row>
    <row r="404" customFormat="false" ht="15" hidden="false" customHeight="false" outlineLevel="0" collapsed="false">
      <c r="A404" s="0" t="s">
        <v>95</v>
      </c>
      <c r="B404" s="0" t="s">
        <v>94</v>
      </c>
      <c r="C404" s="0" t="s">
        <v>31</v>
      </c>
      <c r="D404" s="0" t="s">
        <v>132</v>
      </c>
      <c r="E404" s="0" t="s">
        <v>1311</v>
      </c>
      <c r="F404" s="0" t="s">
        <v>1312</v>
      </c>
      <c r="G404" s="0" t="s">
        <v>1313</v>
      </c>
    </row>
    <row r="405" customFormat="false" ht="15" hidden="false" customHeight="false" outlineLevel="0" collapsed="false">
      <c r="A405" s="0" t="s">
        <v>228</v>
      </c>
      <c r="B405" s="0" t="s">
        <v>227</v>
      </c>
      <c r="C405" s="0" t="s">
        <v>31</v>
      </c>
      <c r="D405" s="0" t="s">
        <v>132</v>
      </c>
      <c r="E405" s="0" t="s">
        <v>1311</v>
      </c>
      <c r="F405" s="0" t="s">
        <v>1312</v>
      </c>
      <c r="G405" s="0" t="s">
        <v>1313</v>
      </c>
    </row>
    <row r="406" customFormat="false" ht="15" hidden="false" customHeight="false" outlineLevel="0" collapsed="false">
      <c r="A406" s="0" t="s">
        <v>973</v>
      </c>
      <c r="B406" s="0" t="s">
        <v>972</v>
      </c>
      <c r="C406" s="0" t="s">
        <v>31</v>
      </c>
      <c r="D406" s="0" t="s">
        <v>132</v>
      </c>
      <c r="E406" s="0" t="s">
        <v>1311</v>
      </c>
      <c r="F406" s="0" t="s">
        <v>1312</v>
      </c>
      <c r="G406" s="0" t="s">
        <v>1313</v>
      </c>
    </row>
    <row r="407" customFormat="false" ht="15" hidden="false" customHeight="false" outlineLevel="0" collapsed="false">
      <c r="A407" s="0" t="s">
        <v>1015</v>
      </c>
      <c r="B407" s="0" t="s">
        <v>1014</v>
      </c>
      <c r="C407" s="0" t="s">
        <v>31</v>
      </c>
      <c r="D407" s="0" t="s">
        <v>132</v>
      </c>
      <c r="E407" s="0" t="s">
        <v>1311</v>
      </c>
      <c r="F407" s="0" t="s">
        <v>1312</v>
      </c>
      <c r="G407" s="0" t="s">
        <v>1313</v>
      </c>
    </row>
    <row r="408" customFormat="false" ht="15" hidden="false" customHeight="false" outlineLevel="0" collapsed="false">
      <c r="A408" s="0" t="s">
        <v>927</v>
      </c>
      <c r="B408" s="0" t="s">
        <v>926</v>
      </c>
      <c r="C408" s="0" t="s">
        <v>31</v>
      </c>
      <c r="D408" s="0" t="s">
        <v>132</v>
      </c>
      <c r="E408" s="0" t="s">
        <v>1311</v>
      </c>
      <c r="F408" s="0" t="s">
        <v>1312</v>
      </c>
      <c r="G408" s="0" t="s">
        <v>1313</v>
      </c>
    </row>
    <row r="409" customFormat="false" ht="15" hidden="false" customHeight="false" outlineLevel="0" collapsed="false">
      <c r="A409" s="0" t="s">
        <v>53</v>
      </c>
      <c r="B409" s="0" t="s">
        <v>52</v>
      </c>
      <c r="C409" s="0" t="s">
        <v>38</v>
      </c>
      <c r="D409" s="0" t="s">
        <v>494</v>
      </c>
      <c r="E409" s="0" t="s">
        <v>1308</v>
      </c>
      <c r="F409" s="0" t="s">
        <v>1309</v>
      </c>
      <c r="G409" s="0" t="s">
        <v>1310</v>
      </c>
    </row>
    <row r="410" customFormat="false" ht="15" hidden="false" customHeight="false" outlineLevel="0" collapsed="false">
      <c r="A410" s="0" t="s">
        <v>582</v>
      </c>
      <c r="B410" s="0" t="s">
        <v>581</v>
      </c>
      <c r="C410" s="0" t="s">
        <v>31</v>
      </c>
      <c r="D410" s="0" t="s">
        <v>132</v>
      </c>
      <c r="E410" s="0" t="s">
        <v>1311</v>
      </c>
      <c r="F410" s="0" t="s">
        <v>1312</v>
      </c>
      <c r="G410" s="0" t="s">
        <v>1313</v>
      </c>
    </row>
    <row r="411" customFormat="false" ht="15" hidden="false" customHeight="false" outlineLevel="0" collapsed="false">
      <c r="A411" s="0" t="s">
        <v>727</v>
      </c>
      <c r="B411" s="0" t="s">
        <v>727</v>
      </c>
      <c r="C411" s="0" t="s">
        <v>31</v>
      </c>
      <c r="D411" s="0" t="s">
        <v>132</v>
      </c>
      <c r="E411" s="0" t="s">
        <v>1311</v>
      </c>
      <c r="F411" s="0" t="s">
        <v>1312</v>
      </c>
      <c r="G411" s="0" t="s">
        <v>1313</v>
      </c>
    </row>
    <row r="412" customFormat="false" ht="15" hidden="false" customHeight="false" outlineLevel="0" collapsed="false">
      <c r="A412" s="0" t="s">
        <v>642</v>
      </c>
      <c r="B412" s="0" t="s">
        <v>641</v>
      </c>
      <c r="C412" s="0" t="s">
        <v>31</v>
      </c>
      <c r="D412" s="0" t="s">
        <v>132</v>
      </c>
      <c r="E412" s="0" t="s">
        <v>1311</v>
      </c>
      <c r="F412" s="0" t="s">
        <v>1312</v>
      </c>
      <c r="G412" s="0" t="s">
        <v>1313</v>
      </c>
    </row>
    <row r="413" customFormat="false" ht="15" hidden="false" customHeight="false" outlineLevel="0" collapsed="false">
      <c r="A413" s="0" t="s">
        <v>314</v>
      </c>
      <c r="B413" s="0" t="s">
        <v>313</v>
      </c>
      <c r="C413" s="0" t="s">
        <v>31</v>
      </c>
      <c r="D413" s="0" t="s">
        <v>132</v>
      </c>
      <c r="E413" s="0" t="s">
        <v>1311</v>
      </c>
      <c r="F413" s="0" t="s">
        <v>1312</v>
      </c>
      <c r="G413" s="0" t="s">
        <v>1313</v>
      </c>
    </row>
    <row r="414" customFormat="false" ht="15" hidden="false" customHeight="false" outlineLevel="0" collapsed="false">
      <c r="A414" s="0" t="s">
        <v>1029</v>
      </c>
      <c r="B414" s="0" t="s">
        <v>1028</v>
      </c>
      <c r="C414" s="0" t="s">
        <v>31</v>
      </c>
      <c r="D414" s="0" t="s">
        <v>132</v>
      </c>
      <c r="E414" s="0" t="s">
        <v>1311</v>
      </c>
      <c r="F414" s="0" t="s">
        <v>1312</v>
      </c>
      <c r="G414" s="0" t="s">
        <v>1313</v>
      </c>
    </row>
    <row r="415" customFormat="false" ht="15" hidden="false" customHeight="false" outlineLevel="0" collapsed="false">
      <c r="A415" s="0" t="s">
        <v>1009</v>
      </c>
      <c r="B415" s="0" t="s">
        <v>1008</v>
      </c>
      <c r="C415" s="0" t="s">
        <v>31</v>
      </c>
      <c r="D415" s="0" t="s">
        <v>132</v>
      </c>
      <c r="E415" s="0" t="s">
        <v>1311</v>
      </c>
      <c r="F415" s="0" t="s">
        <v>1312</v>
      </c>
      <c r="G415" s="0" t="s">
        <v>1313</v>
      </c>
    </row>
    <row r="416" customFormat="false" ht="15" hidden="false" customHeight="false" outlineLevel="0" collapsed="false">
      <c r="A416" s="0" t="s">
        <v>86</v>
      </c>
      <c r="B416" s="0" t="s">
        <v>85</v>
      </c>
      <c r="C416" s="0" t="s">
        <v>65</v>
      </c>
      <c r="D416" s="0" t="s">
        <v>1315</v>
      </c>
      <c r="E416" s="0" t="s">
        <v>1213</v>
      </c>
      <c r="F416" s="0" t="s">
        <v>1316</v>
      </c>
      <c r="G416" s="0" t="s">
        <v>1317</v>
      </c>
    </row>
    <row r="417" customFormat="false" ht="15" hidden="false" customHeight="false" outlineLevel="0" collapsed="false">
      <c r="A417" s="0" t="s">
        <v>353</v>
      </c>
      <c r="B417" s="0" t="s">
        <v>352</v>
      </c>
      <c r="C417" s="0" t="s">
        <v>31</v>
      </c>
      <c r="D417" s="0" t="s">
        <v>132</v>
      </c>
      <c r="E417" s="0" t="s">
        <v>1311</v>
      </c>
      <c r="F417" s="0" t="s">
        <v>1312</v>
      </c>
      <c r="G417" s="0" t="s">
        <v>1313</v>
      </c>
    </row>
    <row r="418" customFormat="false" ht="15" hidden="false" customHeight="false" outlineLevel="0" collapsed="false">
      <c r="A418" s="0" t="s">
        <v>267</v>
      </c>
      <c r="B418" s="0" t="s">
        <v>266</v>
      </c>
      <c r="C418" s="0" t="s">
        <v>31</v>
      </c>
      <c r="D418" s="0" t="s">
        <v>132</v>
      </c>
      <c r="E418" s="0" t="s">
        <v>1311</v>
      </c>
      <c r="F418" s="0" t="s">
        <v>1312</v>
      </c>
      <c r="G418" s="0" t="s">
        <v>1313</v>
      </c>
    </row>
    <row r="419" customFormat="false" ht="15" hidden="false" customHeight="false" outlineLevel="0" collapsed="false">
      <c r="A419" s="0" t="s">
        <v>478</v>
      </c>
      <c r="B419" s="0" t="s">
        <v>477</v>
      </c>
      <c r="C419" s="0" t="s">
        <v>38</v>
      </c>
      <c r="D419" s="0" t="s">
        <v>494</v>
      </c>
      <c r="E419" s="0" t="s">
        <v>1308</v>
      </c>
      <c r="F419" s="0" t="s">
        <v>1309</v>
      </c>
      <c r="G419" s="0" t="s">
        <v>1310</v>
      </c>
    </row>
    <row r="420" customFormat="false" ht="15" hidden="false" customHeight="false" outlineLevel="0" collapsed="false">
      <c r="A420" s="0" t="s">
        <v>394</v>
      </c>
      <c r="B420" s="0" t="s">
        <v>393</v>
      </c>
      <c r="C420" s="0" t="s">
        <v>31</v>
      </c>
      <c r="D420" s="0" t="s">
        <v>132</v>
      </c>
      <c r="E420" s="0" t="s">
        <v>1311</v>
      </c>
      <c r="F420" s="0" t="s">
        <v>1312</v>
      </c>
      <c r="G420" s="0" t="s">
        <v>1313</v>
      </c>
    </row>
    <row r="421" customFormat="false" ht="15" hidden="false" customHeight="false" outlineLevel="0" collapsed="false">
      <c r="A421" s="0" t="s">
        <v>670</v>
      </c>
      <c r="B421" s="0" t="s">
        <v>669</v>
      </c>
      <c r="C421" s="0" t="s">
        <v>31</v>
      </c>
      <c r="D421" s="0" t="s">
        <v>132</v>
      </c>
      <c r="E421" s="0" t="s">
        <v>1311</v>
      </c>
      <c r="F421" s="0" t="s">
        <v>1312</v>
      </c>
      <c r="G421" s="0" t="s">
        <v>1313</v>
      </c>
    </row>
    <row r="422" customFormat="false" ht="15" hidden="false" customHeight="false" outlineLevel="0" collapsed="false">
      <c r="A422" s="0" t="s">
        <v>706</v>
      </c>
      <c r="B422" s="0" t="s">
        <v>705</v>
      </c>
      <c r="C422" s="0" t="s">
        <v>31</v>
      </c>
      <c r="D422" s="0" t="s">
        <v>132</v>
      </c>
      <c r="E422" s="0" t="s">
        <v>1311</v>
      </c>
      <c r="F422" s="0" t="s">
        <v>1312</v>
      </c>
      <c r="G422" s="0" t="s">
        <v>1313</v>
      </c>
    </row>
    <row r="423" customFormat="false" ht="15" hidden="false" customHeight="false" outlineLevel="0" collapsed="false">
      <c r="A423" s="0" t="s">
        <v>1001</v>
      </c>
      <c r="B423" s="0" t="s">
        <v>1000</v>
      </c>
      <c r="C423" s="0" t="s">
        <v>31</v>
      </c>
      <c r="D423" s="0" t="s">
        <v>132</v>
      </c>
      <c r="E423" s="0" t="s">
        <v>1311</v>
      </c>
      <c r="F423" s="0" t="s">
        <v>1312</v>
      </c>
      <c r="G423" s="0" t="s">
        <v>1313</v>
      </c>
    </row>
    <row r="424" customFormat="false" ht="15" hidden="false" customHeight="false" outlineLevel="0" collapsed="false">
      <c r="A424" s="0" t="s">
        <v>1148</v>
      </c>
      <c r="B424" s="0" t="s">
        <v>1147</v>
      </c>
      <c r="C424" s="0" t="s">
        <v>65</v>
      </c>
      <c r="D424" s="0" t="s">
        <v>1315</v>
      </c>
      <c r="E424" s="0" t="s">
        <v>1213</v>
      </c>
      <c r="F424" s="0" t="s">
        <v>1316</v>
      </c>
      <c r="G424" s="0" t="s">
        <v>1317</v>
      </c>
    </row>
    <row r="425" customFormat="false" ht="15" hidden="false" customHeight="false" outlineLevel="0" collapsed="false">
      <c r="A425" s="0" t="s">
        <v>506</v>
      </c>
      <c r="B425" s="0" t="s">
        <v>505</v>
      </c>
      <c r="C425" s="0" t="s">
        <v>31</v>
      </c>
      <c r="D425" s="0" t="s">
        <v>132</v>
      </c>
      <c r="E425" s="0" t="s">
        <v>1311</v>
      </c>
      <c r="F425" s="0" t="s">
        <v>1312</v>
      </c>
      <c r="G425" s="0" t="s">
        <v>1313</v>
      </c>
    </row>
    <row r="426" customFormat="false" ht="15" hidden="false" customHeight="false" outlineLevel="0" collapsed="false">
      <c r="A426" s="0" t="s">
        <v>600</v>
      </c>
      <c r="B426" s="0" t="s">
        <v>599</v>
      </c>
      <c r="C426" s="0" t="s">
        <v>31</v>
      </c>
      <c r="D426" s="0" t="s">
        <v>132</v>
      </c>
      <c r="E426" s="0" t="s">
        <v>1311</v>
      </c>
      <c r="F426" s="0" t="s">
        <v>1312</v>
      </c>
      <c r="G426" s="0" t="s">
        <v>1313</v>
      </c>
    </row>
    <row r="427" customFormat="false" ht="15" hidden="false" customHeight="false" outlineLevel="0" collapsed="false">
      <c r="A427" s="0" t="s">
        <v>745</v>
      </c>
      <c r="B427" s="0" t="s">
        <v>744</v>
      </c>
      <c r="C427" s="0" t="s">
        <v>31</v>
      </c>
      <c r="D427" s="0" t="s">
        <v>132</v>
      </c>
      <c r="E427" s="0" t="s">
        <v>1311</v>
      </c>
      <c r="F427" s="0" t="s">
        <v>1312</v>
      </c>
      <c r="G427" s="0" t="s">
        <v>1313</v>
      </c>
    </row>
    <row r="428" customFormat="false" ht="15" hidden="false" customHeight="false" outlineLevel="0" collapsed="false">
      <c r="A428" s="0" t="s">
        <v>311</v>
      </c>
      <c r="B428" s="0" t="s">
        <v>310</v>
      </c>
      <c r="C428" s="0" t="s">
        <v>31</v>
      </c>
      <c r="D428" s="0" t="s">
        <v>132</v>
      </c>
      <c r="E428" s="0" t="s">
        <v>1311</v>
      </c>
      <c r="F428" s="0" t="s">
        <v>1312</v>
      </c>
      <c r="G428" s="0" t="s">
        <v>1313</v>
      </c>
    </row>
    <row r="429" customFormat="false" ht="15" hidden="false" customHeight="false" outlineLevel="0" collapsed="false">
      <c r="A429" s="0" t="s">
        <v>569</v>
      </c>
      <c r="B429" s="0" t="s">
        <v>568</v>
      </c>
      <c r="C429" s="0" t="s">
        <v>38</v>
      </c>
      <c r="D429" s="0" t="s">
        <v>494</v>
      </c>
      <c r="E429" s="0" t="s">
        <v>1308</v>
      </c>
      <c r="F429" s="0" t="s">
        <v>1309</v>
      </c>
      <c r="G429" s="0" t="s">
        <v>1310</v>
      </c>
    </row>
    <row r="430" customFormat="false" ht="15" hidden="false" customHeight="false" outlineLevel="0" collapsed="false">
      <c r="A430" s="0" t="s">
        <v>825</v>
      </c>
      <c r="B430" s="0" t="s">
        <v>824</v>
      </c>
      <c r="C430" s="0" t="s">
        <v>31</v>
      </c>
      <c r="D430" s="0" t="s">
        <v>132</v>
      </c>
      <c r="E430" s="0" t="s">
        <v>1311</v>
      </c>
      <c r="F430" s="0" t="s">
        <v>1312</v>
      </c>
      <c r="G430" s="0" t="s">
        <v>1313</v>
      </c>
    </row>
    <row r="431" customFormat="false" ht="15" hidden="false" customHeight="false" outlineLevel="0" collapsed="false">
      <c r="A431" s="0" t="s">
        <v>606</v>
      </c>
      <c r="B431" s="0" t="s">
        <v>605</v>
      </c>
      <c r="C431" s="0" t="s">
        <v>31</v>
      </c>
      <c r="D431" s="0" t="s">
        <v>132</v>
      </c>
      <c r="E431" s="0" t="s">
        <v>1311</v>
      </c>
      <c r="F431" s="0" t="s">
        <v>1312</v>
      </c>
      <c r="G431" s="0" t="s">
        <v>1313</v>
      </c>
    </row>
    <row r="432" customFormat="false" ht="15" hidden="false" customHeight="false" outlineLevel="0" collapsed="false">
      <c r="A432" s="0" t="s">
        <v>279</v>
      </c>
      <c r="B432" s="0" t="s">
        <v>278</v>
      </c>
      <c r="C432" s="0" t="s">
        <v>38</v>
      </c>
      <c r="D432" s="0" t="s">
        <v>494</v>
      </c>
      <c r="E432" s="0" t="s">
        <v>1308</v>
      </c>
      <c r="F432" s="0" t="s">
        <v>1309</v>
      </c>
      <c r="G432" s="0" t="s">
        <v>1310</v>
      </c>
    </row>
    <row r="433" customFormat="false" ht="15" hidden="false" customHeight="false" outlineLevel="0" collapsed="false">
      <c r="A433" s="0" t="s">
        <v>204</v>
      </c>
      <c r="B433" s="0" t="s">
        <v>203</v>
      </c>
      <c r="C433" s="0" t="s">
        <v>31</v>
      </c>
      <c r="D433" s="0" t="s">
        <v>132</v>
      </c>
      <c r="E433" s="0" t="s">
        <v>1311</v>
      </c>
      <c r="F433" s="0" t="s">
        <v>1312</v>
      </c>
      <c r="G433" s="0" t="s">
        <v>1313</v>
      </c>
    </row>
    <row r="434" customFormat="false" ht="15" hidden="false" customHeight="false" outlineLevel="0" collapsed="false">
      <c r="A434" s="0" t="s">
        <v>757</v>
      </c>
      <c r="B434" s="0" t="s">
        <v>756</v>
      </c>
      <c r="C434" s="0" t="s">
        <v>31</v>
      </c>
      <c r="D434" s="0" t="s">
        <v>132</v>
      </c>
      <c r="E434" s="0" t="s">
        <v>1311</v>
      </c>
      <c r="F434" s="0" t="s">
        <v>1312</v>
      </c>
      <c r="G434" s="0" t="s">
        <v>1313</v>
      </c>
    </row>
    <row r="435" customFormat="false" ht="15" hidden="false" customHeight="false" outlineLevel="0" collapsed="false">
      <c r="A435" s="0" t="s">
        <v>755</v>
      </c>
      <c r="B435" s="0" t="s">
        <v>754</v>
      </c>
      <c r="C435" s="0" t="s">
        <v>31</v>
      </c>
      <c r="D435" s="0" t="s">
        <v>132</v>
      </c>
      <c r="E435" s="0" t="s">
        <v>1311</v>
      </c>
      <c r="F435" s="0" t="s">
        <v>1312</v>
      </c>
      <c r="G435" s="0" t="s">
        <v>1313</v>
      </c>
    </row>
    <row r="436" customFormat="false" ht="15" hidden="false" customHeight="false" outlineLevel="0" collapsed="false">
      <c r="A436" s="0" t="s">
        <v>630</v>
      </c>
      <c r="B436" s="0" t="s">
        <v>629</v>
      </c>
      <c r="C436" s="0" t="s">
        <v>31</v>
      </c>
      <c r="D436" s="0" t="s">
        <v>132</v>
      </c>
      <c r="E436" s="0" t="s">
        <v>1311</v>
      </c>
      <c r="F436" s="0" t="s">
        <v>1312</v>
      </c>
      <c r="G436" s="0" t="s">
        <v>1313</v>
      </c>
    </row>
    <row r="437" customFormat="false" ht="15" hidden="false" customHeight="false" outlineLevel="0" collapsed="false">
      <c r="A437" s="0" t="s">
        <v>911</v>
      </c>
      <c r="B437" s="0" t="s">
        <v>910</v>
      </c>
      <c r="C437" s="0" t="s">
        <v>31</v>
      </c>
      <c r="D437" s="0" t="s">
        <v>132</v>
      </c>
      <c r="E437" s="0" t="s">
        <v>1311</v>
      </c>
      <c r="F437" s="0" t="s">
        <v>1312</v>
      </c>
      <c r="G437" s="0" t="s">
        <v>1313</v>
      </c>
    </row>
    <row r="438" customFormat="false" ht="15" hidden="false" customHeight="false" outlineLevel="0" collapsed="false">
      <c r="A438" s="0" t="s">
        <v>299</v>
      </c>
      <c r="B438" s="0" t="s">
        <v>298</v>
      </c>
      <c r="C438" s="0" t="s">
        <v>31</v>
      </c>
      <c r="D438" s="0" t="s">
        <v>132</v>
      </c>
      <c r="E438" s="0" t="s">
        <v>1311</v>
      </c>
      <c r="F438" s="0" t="s">
        <v>1312</v>
      </c>
      <c r="G438" s="0" t="s">
        <v>1313</v>
      </c>
    </row>
    <row r="439" customFormat="false" ht="15" hidden="false" customHeight="false" outlineLevel="0" collapsed="false">
      <c r="A439" s="0" t="s">
        <v>189</v>
      </c>
      <c r="B439" s="0" t="s">
        <v>188</v>
      </c>
      <c r="C439" s="0" t="s">
        <v>31</v>
      </c>
      <c r="D439" s="0" t="s">
        <v>132</v>
      </c>
      <c r="E439" s="0" t="s">
        <v>1311</v>
      </c>
      <c r="F439" s="0" t="s">
        <v>1312</v>
      </c>
      <c r="G439" s="0" t="s">
        <v>1313</v>
      </c>
    </row>
    <row r="440" customFormat="false" ht="15" hidden="false" customHeight="false" outlineLevel="0" collapsed="false">
      <c r="A440" s="0" t="s">
        <v>549</v>
      </c>
      <c r="B440" s="0" t="s">
        <v>548</v>
      </c>
      <c r="C440" s="0" t="s">
        <v>31</v>
      </c>
      <c r="D440" s="0" t="s">
        <v>132</v>
      </c>
      <c r="E440" s="0" t="s">
        <v>1311</v>
      </c>
      <c r="F440" s="0" t="s">
        <v>1312</v>
      </c>
      <c r="G440" s="0" t="s">
        <v>1313</v>
      </c>
    </row>
    <row r="441" customFormat="false" ht="15" hidden="false" customHeight="false" outlineLevel="0" collapsed="false">
      <c r="A441" s="0" t="s">
        <v>811</v>
      </c>
      <c r="B441" s="0" t="s">
        <v>810</v>
      </c>
      <c r="C441" s="0" t="s">
        <v>31</v>
      </c>
      <c r="D441" s="0" t="s">
        <v>132</v>
      </c>
      <c r="E441" s="0" t="s">
        <v>1311</v>
      </c>
      <c r="F441" s="0" t="s">
        <v>1312</v>
      </c>
      <c r="G441" s="0" t="s">
        <v>1313</v>
      </c>
    </row>
    <row r="442" customFormat="false" ht="15" hidden="false" customHeight="false" outlineLevel="0" collapsed="false">
      <c r="A442" s="0" t="s">
        <v>571</v>
      </c>
      <c r="B442" s="0" t="s">
        <v>570</v>
      </c>
      <c r="C442" s="0" t="s">
        <v>572</v>
      </c>
      <c r="D442" s="0" t="s">
        <v>65</v>
      </c>
      <c r="E442" s="0" t="s">
        <v>1315</v>
      </c>
      <c r="F442" s="0" t="s">
        <v>1213</v>
      </c>
      <c r="G442" s="0" t="s">
        <v>1316</v>
      </c>
    </row>
    <row r="443" customFormat="false" ht="15" hidden="false" customHeight="false" outlineLevel="0" collapsed="false">
      <c r="A443" s="0" t="s">
        <v>845</v>
      </c>
      <c r="B443" s="0" t="s">
        <v>844</v>
      </c>
      <c r="C443" s="0" t="s">
        <v>31</v>
      </c>
      <c r="D443" s="0" t="s">
        <v>132</v>
      </c>
      <c r="E443" s="0" t="s">
        <v>1311</v>
      </c>
      <c r="F443" s="0" t="s">
        <v>1312</v>
      </c>
      <c r="G443" s="0" t="s">
        <v>1313</v>
      </c>
    </row>
    <row r="444" customFormat="false" ht="15" hidden="false" customHeight="false" outlineLevel="0" collapsed="false">
      <c r="A444" s="0" t="s">
        <v>871</v>
      </c>
      <c r="B444" s="0" t="s">
        <v>870</v>
      </c>
      <c r="C444" s="0" t="s">
        <v>31</v>
      </c>
      <c r="D444" s="0" t="s">
        <v>132</v>
      </c>
      <c r="E444" s="0" t="s">
        <v>1311</v>
      </c>
      <c r="F444" s="0" t="s">
        <v>1312</v>
      </c>
      <c r="G444" s="0" t="s">
        <v>1313</v>
      </c>
    </row>
    <row r="445" customFormat="false" ht="15" hidden="false" customHeight="false" outlineLevel="0" collapsed="false">
      <c r="A445" s="0" t="s">
        <v>92</v>
      </c>
      <c r="B445" s="0" t="s">
        <v>91</v>
      </c>
      <c r="C445" s="0" t="s">
        <v>31</v>
      </c>
      <c r="D445" s="0" t="s">
        <v>132</v>
      </c>
      <c r="E445" s="0" t="s">
        <v>1311</v>
      </c>
      <c r="F445" s="0" t="s">
        <v>1312</v>
      </c>
      <c r="G445" s="0" t="s">
        <v>1313</v>
      </c>
    </row>
    <row r="446" customFormat="false" ht="15" hidden="false" customHeight="false" outlineLevel="0" collapsed="false">
      <c r="A446" s="0" t="s">
        <v>382</v>
      </c>
      <c r="B446" s="0" t="s">
        <v>381</v>
      </c>
      <c r="C446" s="0" t="s">
        <v>38</v>
      </c>
      <c r="D446" s="0" t="s">
        <v>494</v>
      </c>
      <c r="E446" s="0" t="s">
        <v>1308</v>
      </c>
      <c r="F446" s="0" t="s">
        <v>1309</v>
      </c>
      <c r="G446" s="0" t="s">
        <v>1310</v>
      </c>
    </row>
    <row r="447" customFormat="false" ht="15" hidden="false" customHeight="false" outlineLevel="0" collapsed="false">
      <c r="A447" s="0" t="s">
        <v>350</v>
      </c>
      <c r="B447" s="0" t="s">
        <v>349</v>
      </c>
      <c r="C447" s="0" t="s">
        <v>38</v>
      </c>
      <c r="D447" s="0" t="s">
        <v>494</v>
      </c>
      <c r="E447" s="0" t="s">
        <v>1308</v>
      </c>
      <c r="F447" s="0" t="s">
        <v>1309</v>
      </c>
      <c r="G447" s="0" t="s">
        <v>1310</v>
      </c>
    </row>
    <row r="448" customFormat="false" ht="15" hidden="false" customHeight="false" outlineLevel="0" collapsed="false">
      <c r="A448" s="0" t="s">
        <v>724</v>
      </c>
      <c r="B448" s="0" t="s">
        <v>723</v>
      </c>
      <c r="C448" s="0" t="s">
        <v>65</v>
      </c>
      <c r="D448" s="0" t="s">
        <v>1315</v>
      </c>
      <c r="E448" s="0" t="s">
        <v>1213</v>
      </c>
      <c r="F448" s="0" t="s">
        <v>1316</v>
      </c>
      <c r="G448" s="0" t="s">
        <v>1317</v>
      </c>
    </row>
    <row r="449" customFormat="false" ht="15" hidden="false" customHeight="false" outlineLevel="0" collapsed="false">
      <c r="A449" s="0" t="s">
        <v>433</v>
      </c>
      <c r="B449" s="0" t="s">
        <v>432</v>
      </c>
      <c r="C449" s="0" t="s">
        <v>31</v>
      </c>
      <c r="D449" s="0" t="s">
        <v>132</v>
      </c>
      <c r="E449" s="0" t="s">
        <v>1311</v>
      </c>
      <c r="F449" s="0" t="s">
        <v>1312</v>
      </c>
      <c r="G449" s="0" t="s">
        <v>1313</v>
      </c>
    </row>
    <row r="450" customFormat="false" ht="15" hidden="false" customHeight="false" outlineLevel="0" collapsed="false">
      <c r="A450" s="0" t="s">
        <v>1122</v>
      </c>
      <c r="B450" s="0" t="s">
        <v>1121</v>
      </c>
      <c r="C450" s="0" t="s">
        <v>31</v>
      </c>
      <c r="D450" s="0" t="s">
        <v>132</v>
      </c>
      <c r="E450" s="0" t="s">
        <v>1311</v>
      </c>
      <c r="F450" s="0" t="s">
        <v>1312</v>
      </c>
      <c r="G450" s="0" t="s">
        <v>1313</v>
      </c>
    </row>
    <row r="451" customFormat="false" ht="15" hidden="false" customHeight="false" outlineLevel="0" collapsed="false">
      <c r="A451" s="0" t="s">
        <v>1194</v>
      </c>
      <c r="B451" s="0" t="s">
        <v>1193</v>
      </c>
      <c r="C451" s="0" t="s">
        <v>31</v>
      </c>
      <c r="D451" s="0" t="s">
        <v>132</v>
      </c>
      <c r="E451" s="0" t="s">
        <v>1311</v>
      </c>
      <c r="F451" s="0" t="s">
        <v>1312</v>
      </c>
      <c r="G451" s="0" t="s">
        <v>1313</v>
      </c>
    </row>
    <row r="452" customFormat="false" ht="15" hidden="false" customHeight="false" outlineLevel="0" collapsed="false">
      <c r="A452" s="0" t="s">
        <v>198</v>
      </c>
      <c r="B452" s="0" t="s">
        <v>197</v>
      </c>
      <c r="C452" s="0" t="s">
        <v>31</v>
      </c>
      <c r="D452" s="0" t="s">
        <v>132</v>
      </c>
      <c r="E452" s="0" t="s">
        <v>1311</v>
      </c>
      <c r="F452" s="0" t="s">
        <v>1312</v>
      </c>
      <c r="G452" s="0" t="s">
        <v>1313</v>
      </c>
    </row>
    <row r="453" customFormat="false" ht="15" hidden="false" customHeight="false" outlineLevel="0" collapsed="false">
      <c r="A453" s="0" t="s">
        <v>1059</v>
      </c>
      <c r="B453" s="0" t="s">
        <v>1058</v>
      </c>
      <c r="C453" s="0" t="s">
        <v>31</v>
      </c>
      <c r="D453" s="0" t="s">
        <v>132</v>
      </c>
      <c r="E453" s="0" t="s">
        <v>1311</v>
      </c>
      <c r="F453" s="0" t="s">
        <v>1312</v>
      </c>
      <c r="G453" s="0" t="s">
        <v>1313</v>
      </c>
    </row>
    <row r="454" customFormat="false" ht="15" hidden="false" customHeight="false" outlineLevel="0" collapsed="false">
      <c r="A454" s="0" t="s">
        <v>463</v>
      </c>
      <c r="B454" s="0" t="s">
        <v>462</v>
      </c>
      <c r="C454" s="0" t="s">
        <v>31</v>
      </c>
      <c r="D454" s="0" t="s">
        <v>132</v>
      </c>
      <c r="E454" s="0" t="s">
        <v>1311</v>
      </c>
      <c r="F454" s="0" t="s">
        <v>1312</v>
      </c>
      <c r="G454" s="0" t="s">
        <v>1313</v>
      </c>
    </row>
    <row r="455" customFormat="false" ht="15" hidden="false" customHeight="false" outlineLevel="0" collapsed="false">
      <c r="A455" s="0" t="s">
        <v>1085</v>
      </c>
      <c r="B455" s="0" t="s">
        <v>1084</v>
      </c>
      <c r="C455" s="0" t="s">
        <v>31</v>
      </c>
      <c r="D455" s="0" t="s">
        <v>132</v>
      </c>
      <c r="E455" s="0" t="s">
        <v>1311</v>
      </c>
      <c r="F455" s="0" t="s">
        <v>1312</v>
      </c>
      <c r="G455" s="0" t="s">
        <v>1313</v>
      </c>
    </row>
    <row r="456" customFormat="false" ht="15" hidden="false" customHeight="false" outlineLevel="0" collapsed="false">
      <c r="A456" s="0" t="s">
        <v>875</v>
      </c>
      <c r="B456" s="0" t="s">
        <v>874</v>
      </c>
      <c r="C456" s="0" t="s">
        <v>31</v>
      </c>
      <c r="D456" s="0" t="s">
        <v>132</v>
      </c>
      <c r="E456" s="0" t="s">
        <v>1311</v>
      </c>
      <c r="F456" s="0" t="s">
        <v>1312</v>
      </c>
      <c r="G456" s="0" t="s">
        <v>1313</v>
      </c>
    </row>
    <row r="457" customFormat="false" ht="15" hidden="false" customHeight="false" outlineLevel="0" collapsed="false">
      <c r="A457" s="0" t="s">
        <v>793</v>
      </c>
      <c r="B457" s="0" t="s">
        <v>792</v>
      </c>
      <c r="C457" s="0" t="s">
        <v>31</v>
      </c>
      <c r="D457" s="0" t="s">
        <v>132</v>
      </c>
      <c r="E457" s="0" t="s">
        <v>1311</v>
      </c>
      <c r="F457" s="0" t="s">
        <v>1312</v>
      </c>
      <c r="G457" s="0" t="s">
        <v>1313</v>
      </c>
    </row>
    <row r="458" customFormat="false" ht="15" hidden="false" customHeight="false" outlineLevel="0" collapsed="false">
      <c r="A458" s="0" t="s">
        <v>288</v>
      </c>
      <c r="B458" s="0" t="s">
        <v>287</v>
      </c>
      <c r="C458" s="0" t="s">
        <v>31</v>
      </c>
      <c r="D458" s="0" t="s">
        <v>132</v>
      </c>
      <c r="E458" s="0" t="s">
        <v>1311</v>
      </c>
      <c r="F458" s="0" t="s">
        <v>1312</v>
      </c>
      <c r="G458" s="0" t="s">
        <v>1313</v>
      </c>
    </row>
    <row r="459" customFormat="false" ht="15" hidden="false" customHeight="false" outlineLevel="0" collapsed="false">
      <c r="A459" s="0" t="s">
        <v>678</v>
      </c>
      <c r="B459" s="0" t="s">
        <v>677</v>
      </c>
      <c r="C459" s="0" t="s">
        <v>31</v>
      </c>
      <c r="D459" s="0" t="s">
        <v>132</v>
      </c>
      <c r="E459" s="0" t="s">
        <v>1311</v>
      </c>
      <c r="F459" s="0" t="s">
        <v>1312</v>
      </c>
      <c r="G459" s="0" t="s">
        <v>1313</v>
      </c>
    </row>
    <row r="460" customFormat="false" ht="15" hidden="false" customHeight="false" outlineLevel="0" collapsed="false">
      <c r="A460" s="0" t="s">
        <v>533</v>
      </c>
      <c r="B460" s="0" t="s">
        <v>532</v>
      </c>
      <c r="C460" s="0" t="s">
        <v>31</v>
      </c>
      <c r="D460" s="0" t="s">
        <v>132</v>
      </c>
      <c r="E460" s="0" t="s">
        <v>1311</v>
      </c>
      <c r="F460" s="0" t="s">
        <v>1312</v>
      </c>
      <c r="G460" s="0" t="s">
        <v>1313</v>
      </c>
    </row>
    <row r="461" customFormat="false" ht="15" hidden="false" customHeight="false" outlineLevel="0" collapsed="false">
      <c r="A461" s="0" t="s">
        <v>264</v>
      </c>
      <c r="B461" s="0" t="s">
        <v>263</v>
      </c>
      <c r="C461" s="0" t="s">
        <v>31</v>
      </c>
      <c r="D461" s="0" t="s">
        <v>132</v>
      </c>
      <c r="E461" s="0" t="s">
        <v>1311</v>
      </c>
      <c r="F461" s="0" t="s">
        <v>1312</v>
      </c>
      <c r="G461" s="0" t="s">
        <v>1313</v>
      </c>
    </row>
    <row r="462" customFormat="false" ht="15" hidden="false" customHeight="false" outlineLevel="0" collapsed="false">
      <c r="A462" s="0" t="s">
        <v>487</v>
      </c>
      <c r="B462" s="0" t="s">
        <v>486</v>
      </c>
      <c r="C462" s="0" t="s">
        <v>31</v>
      </c>
      <c r="D462" s="0" t="s">
        <v>132</v>
      </c>
      <c r="E462" s="0" t="s">
        <v>1311</v>
      </c>
      <c r="F462" s="0" t="s">
        <v>1312</v>
      </c>
      <c r="G462" s="0" t="s">
        <v>1313</v>
      </c>
    </row>
    <row r="463" customFormat="false" ht="15" hidden="false" customHeight="false" outlineLevel="0" collapsed="false">
      <c r="A463" s="0" t="s">
        <v>700</v>
      </c>
      <c r="B463" s="0" t="s">
        <v>699</v>
      </c>
      <c r="C463" s="0" t="s">
        <v>31</v>
      </c>
      <c r="D463" s="0" t="s">
        <v>132</v>
      </c>
      <c r="E463" s="0" t="s">
        <v>1311</v>
      </c>
      <c r="F463" s="0" t="s">
        <v>1312</v>
      </c>
      <c r="G463" s="0" t="s">
        <v>1313</v>
      </c>
    </row>
    <row r="464" customFormat="false" ht="15" hidden="false" customHeight="false" outlineLevel="0" collapsed="false">
      <c r="A464" s="0" t="s">
        <v>1206</v>
      </c>
      <c r="B464" s="0" t="s">
        <v>1205</v>
      </c>
      <c r="C464" s="0" t="s">
        <v>31</v>
      </c>
      <c r="D464" s="0" t="s">
        <v>132</v>
      </c>
      <c r="E464" s="0" t="s">
        <v>1311</v>
      </c>
      <c r="F464" s="0" t="s">
        <v>1312</v>
      </c>
      <c r="G464" s="0" t="s">
        <v>1313</v>
      </c>
    </row>
    <row r="465" customFormat="false" ht="15" hidden="false" customHeight="false" outlineLevel="0" collapsed="false">
      <c r="A465" s="0" t="s">
        <v>168</v>
      </c>
      <c r="B465" s="0" t="s">
        <v>167</v>
      </c>
      <c r="C465" s="0" t="s">
        <v>31</v>
      </c>
      <c r="D465" s="0" t="s">
        <v>132</v>
      </c>
      <c r="E465" s="0" t="s">
        <v>1311</v>
      </c>
      <c r="F465" s="0" t="s">
        <v>1312</v>
      </c>
      <c r="G465" s="0" t="s">
        <v>1313</v>
      </c>
    </row>
    <row r="466" customFormat="false" ht="15" hidden="false" customHeight="false" outlineLevel="0" collapsed="false">
      <c r="A466" s="0" t="s">
        <v>602</v>
      </c>
      <c r="B466" s="0" t="s">
        <v>601</v>
      </c>
      <c r="C466" s="0" t="s">
        <v>31</v>
      </c>
      <c r="D466" s="0" t="s">
        <v>132</v>
      </c>
      <c r="E466" s="0" t="s">
        <v>1311</v>
      </c>
      <c r="F466" s="0" t="s">
        <v>1312</v>
      </c>
      <c r="G466" s="0" t="s">
        <v>1313</v>
      </c>
    </row>
    <row r="467" customFormat="false" ht="15" hidden="false" customHeight="false" outlineLevel="0" collapsed="false">
      <c r="A467" s="0" t="s">
        <v>329</v>
      </c>
      <c r="B467" s="0" t="s">
        <v>328</v>
      </c>
      <c r="C467" s="0" t="s">
        <v>31</v>
      </c>
      <c r="D467" s="0" t="s">
        <v>132</v>
      </c>
      <c r="E467" s="0" t="s">
        <v>1311</v>
      </c>
      <c r="F467" s="0" t="s">
        <v>1312</v>
      </c>
      <c r="G467" s="0" t="s">
        <v>1313</v>
      </c>
    </row>
    <row r="468" customFormat="false" ht="15" hidden="false" customHeight="false" outlineLevel="0" collapsed="false">
      <c r="A468" s="0" t="s">
        <v>1025</v>
      </c>
      <c r="B468" s="0" t="s">
        <v>1024</v>
      </c>
      <c r="C468" s="0" t="s">
        <v>31</v>
      </c>
      <c r="D468" s="0" t="s">
        <v>132</v>
      </c>
      <c r="E468" s="0" t="s">
        <v>1311</v>
      </c>
      <c r="F468" s="0" t="s">
        <v>1312</v>
      </c>
      <c r="G468" s="0" t="s">
        <v>1313</v>
      </c>
    </row>
    <row r="469" customFormat="false" ht="15" hidden="false" customHeight="false" outlineLevel="0" collapsed="false">
      <c r="A469" s="0" t="s">
        <v>698</v>
      </c>
      <c r="B469" s="0" t="s">
        <v>697</v>
      </c>
      <c r="C469" s="0" t="s">
        <v>31</v>
      </c>
      <c r="D469" s="0" t="s">
        <v>132</v>
      </c>
      <c r="E469" s="0" t="s">
        <v>1311</v>
      </c>
      <c r="F469" s="0" t="s">
        <v>1312</v>
      </c>
      <c r="G469" s="0" t="s">
        <v>1313</v>
      </c>
    </row>
    <row r="470" customFormat="false" ht="15" hidden="false" customHeight="false" outlineLevel="0" collapsed="false">
      <c r="A470" s="0" t="s">
        <v>1055</v>
      </c>
      <c r="B470" s="0" t="s">
        <v>1054</v>
      </c>
      <c r="C470" s="0" t="s">
        <v>31</v>
      </c>
      <c r="D470" s="0" t="s">
        <v>132</v>
      </c>
      <c r="E470" s="0" t="s">
        <v>1311</v>
      </c>
      <c r="F470" s="0" t="s">
        <v>1312</v>
      </c>
      <c r="G470" s="0" t="s">
        <v>1313</v>
      </c>
    </row>
    <row r="471" customFormat="false" ht="15" hidden="false" customHeight="false" outlineLevel="0" collapsed="false">
      <c r="A471" s="0" t="s">
        <v>1204</v>
      </c>
      <c r="B471" s="0" t="s">
        <v>1203</v>
      </c>
      <c r="C471" s="0" t="s">
        <v>31</v>
      </c>
      <c r="D471" s="0" t="s">
        <v>132</v>
      </c>
      <c r="E471" s="0" t="s">
        <v>1313</v>
      </c>
      <c r="F471" s="0" t="s">
        <v>1314</v>
      </c>
      <c r="G471" s="0" t="s">
        <v>1319</v>
      </c>
    </row>
    <row r="472" customFormat="false" ht="15" hidden="false" customHeight="false" outlineLevel="0" collapsed="false">
      <c r="A472" s="0" t="s">
        <v>89</v>
      </c>
      <c r="B472" s="0" t="s">
        <v>88</v>
      </c>
      <c r="C472" s="0" t="s">
        <v>31</v>
      </c>
      <c r="D472" s="0" t="s">
        <v>132</v>
      </c>
      <c r="E472" s="0" t="s">
        <v>1311</v>
      </c>
      <c r="F472" s="0" t="s">
        <v>1312</v>
      </c>
      <c r="G472" s="0" t="s">
        <v>1313</v>
      </c>
    </row>
    <row r="473" customFormat="false" ht="15" hidden="false" customHeight="false" outlineLevel="0" collapsed="false">
      <c r="A473" s="0" t="s">
        <v>1192</v>
      </c>
      <c r="B473" s="0" t="s">
        <v>1191</v>
      </c>
      <c r="C473" s="0" t="s">
        <v>31</v>
      </c>
      <c r="D473" s="0" t="s">
        <v>132</v>
      </c>
      <c r="E473" s="0" t="s">
        <v>1311</v>
      </c>
      <c r="F473" s="0" t="s">
        <v>1312</v>
      </c>
      <c r="G473" s="0" t="s">
        <v>1313</v>
      </c>
    </row>
    <row r="474" customFormat="false" ht="15" hidden="false" customHeight="false" outlineLevel="0" collapsed="false">
      <c r="A474" s="0" t="s">
        <v>234</v>
      </c>
      <c r="B474" s="0" t="s">
        <v>233</v>
      </c>
      <c r="C474" s="0" t="s">
        <v>31</v>
      </c>
      <c r="D474" s="0" t="s">
        <v>132</v>
      </c>
      <c r="E474" s="0" t="s">
        <v>1311</v>
      </c>
      <c r="F474" s="0" t="s">
        <v>1312</v>
      </c>
      <c r="G474" s="0" t="s">
        <v>1313</v>
      </c>
    </row>
    <row r="475" customFormat="false" ht="15" hidden="false" customHeight="false" outlineLevel="0" collapsed="false">
      <c r="A475" s="0" t="s">
        <v>993</v>
      </c>
      <c r="B475" s="0" t="s">
        <v>992</v>
      </c>
      <c r="C475" s="0" t="s">
        <v>31</v>
      </c>
      <c r="D475" s="0" t="s">
        <v>132</v>
      </c>
      <c r="E475" s="0" t="s">
        <v>1311</v>
      </c>
      <c r="F475" s="0" t="s">
        <v>1312</v>
      </c>
      <c r="G475" s="0" t="s">
        <v>1313</v>
      </c>
    </row>
    <row r="476" customFormat="false" ht="15" hidden="false" customHeight="false" outlineLevel="0" collapsed="false">
      <c r="A476" s="0" t="s">
        <v>610</v>
      </c>
      <c r="B476" s="0" t="s">
        <v>609</v>
      </c>
      <c r="C476" s="0" t="s">
        <v>31</v>
      </c>
      <c r="D476" s="0" t="s">
        <v>132</v>
      </c>
      <c r="E476" s="0" t="s">
        <v>1311</v>
      </c>
      <c r="F476" s="0" t="s">
        <v>1312</v>
      </c>
      <c r="G476" s="0" t="s">
        <v>1313</v>
      </c>
    </row>
    <row r="477" customFormat="false" ht="15" hidden="false" customHeight="false" outlineLevel="0" collapsed="false">
      <c r="A477" s="0" t="s">
        <v>1176</v>
      </c>
      <c r="B477" s="0" t="s">
        <v>1175</v>
      </c>
      <c r="C477" s="0" t="s">
        <v>31</v>
      </c>
      <c r="D477" s="0" t="s">
        <v>132</v>
      </c>
      <c r="E477" s="0" t="s">
        <v>1311</v>
      </c>
      <c r="F477" s="0" t="s">
        <v>1312</v>
      </c>
      <c r="G477" s="0" t="s">
        <v>1313</v>
      </c>
    </row>
    <row r="478" customFormat="false" ht="15" hidden="false" customHeight="false" outlineLevel="0" collapsed="false">
      <c r="A478" s="0" t="s">
        <v>919</v>
      </c>
      <c r="B478" s="0" t="s">
        <v>918</v>
      </c>
      <c r="C478" s="0" t="s">
        <v>31</v>
      </c>
      <c r="D478" s="0" t="s">
        <v>132</v>
      </c>
      <c r="E478" s="0" t="s">
        <v>1311</v>
      </c>
      <c r="F478" s="0" t="s">
        <v>1312</v>
      </c>
      <c r="G478" s="0" t="s">
        <v>1313</v>
      </c>
    </row>
    <row r="479" customFormat="false" ht="15" hidden="false" customHeight="false" outlineLevel="0" collapsed="false">
      <c r="A479" s="0" t="s">
        <v>237</v>
      </c>
      <c r="B479" s="0" t="s">
        <v>236</v>
      </c>
      <c r="C479" s="0" t="s">
        <v>31</v>
      </c>
      <c r="D479" s="0" t="s">
        <v>132</v>
      </c>
      <c r="E479" s="0" t="s">
        <v>1311</v>
      </c>
      <c r="F479" s="0" t="s">
        <v>1312</v>
      </c>
      <c r="G479" s="0" t="s">
        <v>1313</v>
      </c>
    </row>
    <row r="480" customFormat="false" ht="15" hidden="false" customHeight="false" outlineLevel="0" collapsed="false">
      <c r="A480" s="0" t="s">
        <v>837</v>
      </c>
      <c r="B480" s="0" t="s">
        <v>836</v>
      </c>
      <c r="C480" s="0" t="s">
        <v>132</v>
      </c>
      <c r="D480" s="0" t="s">
        <v>1311</v>
      </c>
      <c r="E480" s="0" t="s">
        <v>1312</v>
      </c>
      <c r="F480" s="0" t="s">
        <v>1313</v>
      </c>
      <c r="G480" s="0" t="s">
        <v>1314</v>
      </c>
      <c r="H480" s="0" t="s">
        <v>1290</v>
      </c>
    </row>
    <row r="481" customFormat="false" ht="15" hidden="false" customHeight="false" outlineLevel="0" collapsed="false">
      <c r="A481" s="0" t="s">
        <v>249</v>
      </c>
      <c r="B481" s="0" t="s">
        <v>248</v>
      </c>
      <c r="C481" s="0" t="s">
        <v>31</v>
      </c>
      <c r="D481" s="0" t="s">
        <v>132</v>
      </c>
      <c r="E481" s="0" t="s">
        <v>1311</v>
      </c>
      <c r="F481" s="0" t="s">
        <v>1312</v>
      </c>
      <c r="G481" s="0" t="s">
        <v>1313</v>
      </c>
    </row>
    <row r="482" customFormat="false" ht="15" hidden="false" customHeight="false" outlineLevel="0" collapsed="false">
      <c r="A482" s="0" t="s">
        <v>1120</v>
      </c>
      <c r="B482" s="0" t="s">
        <v>1119</v>
      </c>
      <c r="C482" s="0" t="s">
        <v>31</v>
      </c>
      <c r="D482" s="0" t="s">
        <v>132</v>
      </c>
      <c r="E482" s="0" t="s">
        <v>1311</v>
      </c>
      <c r="F482" s="0" t="s">
        <v>1312</v>
      </c>
      <c r="G482" s="0" t="s">
        <v>1313</v>
      </c>
    </row>
    <row r="483" customFormat="false" ht="15" hidden="false" customHeight="false" outlineLevel="0" collapsed="false">
      <c r="A483" s="0" t="s">
        <v>664</v>
      </c>
      <c r="B483" s="0" t="s">
        <v>663</v>
      </c>
      <c r="C483" s="0" t="s">
        <v>31</v>
      </c>
      <c r="D483" s="0" t="s">
        <v>132</v>
      </c>
      <c r="E483" s="0" t="s">
        <v>1311</v>
      </c>
      <c r="F483" s="0" t="s">
        <v>1312</v>
      </c>
      <c r="G483" s="0" t="s">
        <v>1313</v>
      </c>
    </row>
    <row r="484" customFormat="false" ht="15" hidden="false" customHeight="false" outlineLevel="0" collapsed="false">
      <c r="A484" s="0" t="s">
        <v>686</v>
      </c>
      <c r="B484" s="0" t="s">
        <v>685</v>
      </c>
      <c r="C484" s="0" t="s">
        <v>31</v>
      </c>
      <c r="D484" s="0" t="s">
        <v>132</v>
      </c>
      <c r="E484" s="0" t="s">
        <v>1311</v>
      </c>
      <c r="F484" s="0" t="s">
        <v>1312</v>
      </c>
      <c r="G484" s="0" t="s">
        <v>1313</v>
      </c>
    </row>
    <row r="485" customFormat="false" ht="15" hidden="false" customHeight="false" outlineLevel="0" collapsed="false">
      <c r="A485" s="0" t="s">
        <v>831</v>
      </c>
      <c r="B485" s="0" t="s">
        <v>830</v>
      </c>
      <c r="C485" s="0" t="s">
        <v>31</v>
      </c>
      <c r="D485" s="0" t="s">
        <v>132</v>
      </c>
      <c r="E485" s="0" t="s">
        <v>1311</v>
      </c>
      <c r="F485" s="0" t="s">
        <v>1312</v>
      </c>
      <c r="G485" s="0" t="s">
        <v>1313</v>
      </c>
    </row>
    <row r="486" customFormat="false" ht="15" hidden="false" customHeight="false" outlineLevel="0" collapsed="false">
      <c r="A486" s="0" t="s">
        <v>855</v>
      </c>
      <c r="B486" s="0" t="s">
        <v>854</v>
      </c>
      <c r="C486" s="0" t="s">
        <v>31</v>
      </c>
      <c r="D486" s="0" t="s">
        <v>132</v>
      </c>
      <c r="E486" s="0" t="s">
        <v>1311</v>
      </c>
      <c r="F486" s="0" t="s">
        <v>1312</v>
      </c>
      <c r="G486" s="0" t="s">
        <v>1313</v>
      </c>
    </row>
    <row r="487" customFormat="false" ht="15" hidden="false" customHeight="false" outlineLevel="0" collapsed="false">
      <c r="A487" s="0" t="s">
        <v>252</v>
      </c>
      <c r="B487" s="0" t="s">
        <v>251</v>
      </c>
      <c r="C487" s="0" t="s">
        <v>31</v>
      </c>
      <c r="D487" s="0" t="s">
        <v>132</v>
      </c>
      <c r="E487" s="0" t="s">
        <v>1311</v>
      </c>
      <c r="F487" s="0" t="s">
        <v>1312</v>
      </c>
      <c r="G487" s="0" t="s">
        <v>1313</v>
      </c>
    </row>
    <row r="488" customFormat="false" ht="15" hidden="false" customHeight="false" outlineLevel="0" collapsed="false">
      <c r="A488" s="0" t="s">
        <v>833</v>
      </c>
      <c r="B488" s="0" t="s">
        <v>832</v>
      </c>
      <c r="C488" s="0" t="s">
        <v>31</v>
      </c>
      <c r="D488" s="0" t="s">
        <v>132</v>
      </c>
      <c r="E488" s="0" t="s">
        <v>1311</v>
      </c>
      <c r="F488" s="0" t="s">
        <v>1312</v>
      </c>
      <c r="G488" s="0" t="s">
        <v>1313</v>
      </c>
    </row>
    <row r="489" customFormat="false" ht="15" hidden="false" customHeight="false" outlineLevel="0" collapsed="false">
      <c r="A489" s="0" t="s">
        <v>708</v>
      </c>
      <c r="B489" s="0" t="s">
        <v>707</v>
      </c>
      <c r="C489" s="0" t="s">
        <v>38</v>
      </c>
      <c r="D489" s="0" t="s">
        <v>494</v>
      </c>
      <c r="E489" s="0" t="s">
        <v>1308</v>
      </c>
      <c r="F489" s="0" t="s">
        <v>1309</v>
      </c>
      <c r="G489" s="0" t="s">
        <v>1310</v>
      </c>
    </row>
    <row r="490" customFormat="false" ht="15" hidden="false" customHeight="false" outlineLevel="0" collapsed="false">
      <c r="A490" s="0" t="s">
        <v>1003</v>
      </c>
      <c r="B490" s="0" t="s">
        <v>1002</v>
      </c>
      <c r="C490" s="0" t="s">
        <v>31</v>
      </c>
      <c r="D490" s="0" t="s">
        <v>132</v>
      </c>
      <c r="E490" s="0" t="s">
        <v>1311</v>
      </c>
      <c r="F490" s="0" t="s">
        <v>1312</v>
      </c>
      <c r="G490" s="0" t="s">
        <v>1313</v>
      </c>
    </row>
    <row r="491" customFormat="false" ht="15" hidden="false" customHeight="false" outlineLevel="0" collapsed="false">
      <c r="A491" s="0" t="s">
        <v>409</v>
      </c>
      <c r="B491" s="0" t="s">
        <v>408</v>
      </c>
      <c r="C491" s="0" t="s">
        <v>31</v>
      </c>
      <c r="D491" s="0" t="s">
        <v>132</v>
      </c>
      <c r="E491" s="0" t="s">
        <v>1311</v>
      </c>
      <c r="F491" s="0" t="s">
        <v>1312</v>
      </c>
      <c r="G491" s="0" t="s">
        <v>1313</v>
      </c>
    </row>
    <row r="492" customFormat="false" ht="15" hidden="false" customHeight="false" outlineLevel="0" collapsed="false">
      <c r="A492" s="0" t="s">
        <v>1091</v>
      </c>
      <c r="B492" s="0" t="s">
        <v>1090</v>
      </c>
      <c r="C492" s="0" t="s">
        <v>31</v>
      </c>
      <c r="D492" s="0" t="s">
        <v>132</v>
      </c>
      <c r="E492" s="0" t="s">
        <v>1311</v>
      </c>
      <c r="F492" s="0" t="s">
        <v>1312</v>
      </c>
      <c r="G492" s="0" t="s">
        <v>1313</v>
      </c>
    </row>
    <row r="493" customFormat="false" ht="15" hidden="false" customHeight="false" outlineLevel="0" collapsed="false">
      <c r="A493" s="0" t="s">
        <v>1065</v>
      </c>
      <c r="B493" s="0" t="s">
        <v>1064</v>
      </c>
      <c r="C493" s="0" t="s">
        <v>31</v>
      </c>
      <c r="D493" s="0" t="s">
        <v>132</v>
      </c>
      <c r="E493" s="0" t="s">
        <v>1311</v>
      </c>
      <c r="F493" s="0" t="s">
        <v>1312</v>
      </c>
      <c r="G493" s="0" t="s">
        <v>1313</v>
      </c>
    </row>
    <row r="494" customFormat="false" ht="15" hidden="false" customHeight="false" outlineLevel="0" collapsed="false">
      <c r="A494" s="0" t="s">
        <v>1154</v>
      </c>
      <c r="B494" s="0" t="s">
        <v>1153</v>
      </c>
      <c r="C494" s="0" t="s">
        <v>31</v>
      </c>
      <c r="D494" s="0" t="s">
        <v>132</v>
      </c>
      <c r="E494" s="0" t="s">
        <v>1311</v>
      </c>
      <c r="F494" s="0" t="s">
        <v>1312</v>
      </c>
      <c r="G494" s="0" t="s">
        <v>1313</v>
      </c>
    </row>
    <row r="495" customFormat="false" ht="15" hidden="false" customHeight="false" outlineLevel="0" collapsed="false">
      <c r="A495" s="0" t="s">
        <v>618</v>
      </c>
      <c r="B495" s="0" t="s">
        <v>617</v>
      </c>
      <c r="C495" s="0" t="s">
        <v>31</v>
      </c>
      <c r="D495" s="0" t="s">
        <v>132</v>
      </c>
      <c r="E495" s="0" t="s">
        <v>1311</v>
      </c>
      <c r="F495" s="0" t="s">
        <v>1312</v>
      </c>
      <c r="G495" s="0" t="s">
        <v>1313</v>
      </c>
    </row>
    <row r="496" customFormat="false" ht="15" hidden="false" customHeight="false" outlineLevel="0" collapsed="false">
      <c r="A496" s="0" t="s">
        <v>246</v>
      </c>
      <c r="B496" s="0" t="s">
        <v>245</v>
      </c>
      <c r="C496" s="0" t="s">
        <v>31</v>
      </c>
      <c r="D496" s="0" t="s">
        <v>132</v>
      </c>
      <c r="E496" s="0" t="s">
        <v>1311</v>
      </c>
      <c r="F496" s="0" t="s">
        <v>1312</v>
      </c>
      <c r="G496" s="0" t="s">
        <v>1313</v>
      </c>
    </row>
    <row r="497" customFormat="false" ht="15" hidden="false" customHeight="false" outlineLevel="0" collapsed="false">
      <c r="A497" s="0" t="s">
        <v>975</v>
      </c>
      <c r="B497" s="0" t="s">
        <v>974</v>
      </c>
      <c r="C497" s="0" t="s">
        <v>38</v>
      </c>
      <c r="D497" s="0" t="s">
        <v>494</v>
      </c>
      <c r="E497" s="0" t="s">
        <v>1308</v>
      </c>
      <c r="F497" s="0" t="s">
        <v>1309</v>
      </c>
      <c r="G497" s="0" t="s">
        <v>1310</v>
      </c>
    </row>
    <row r="498" customFormat="false" ht="15" hidden="false" customHeight="false" outlineLevel="0" collapsed="false">
      <c r="A498" s="0" t="s">
        <v>977</v>
      </c>
      <c r="B498" s="0" t="s">
        <v>976</v>
      </c>
      <c r="C498" s="0" t="s">
        <v>31</v>
      </c>
      <c r="D498" s="0" t="s">
        <v>132</v>
      </c>
      <c r="E498" s="0" t="s">
        <v>1311</v>
      </c>
      <c r="F498" s="0" t="s">
        <v>1312</v>
      </c>
      <c r="G498" s="0" t="s">
        <v>1313</v>
      </c>
    </row>
    <row r="499" customFormat="false" ht="15" hidden="false" customHeight="false" outlineLevel="0" collapsed="false">
      <c r="A499" s="0" t="s">
        <v>545</v>
      </c>
      <c r="B499" s="0" t="s">
        <v>544</v>
      </c>
      <c r="C499" s="0" t="s">
        <v>31</v>
      </c>
      <c r="D499" s="0" t="s">
        <v>132</v>
      </c>
      <c r="E499" s="0" t="s">
        <v>1311</v>
      </c>
      <c r="F499" s="0" t="s">
        <v>1312</v>
      </c>
      <c r="G499" s="0" t="s">
        <v>1313</v>
      </c>
    </row>
    <row r="500" customFormat="false" ht="15" hidden="false" customHeight="false" outlineLevel="0" collapsed="false">
      <c r="A500" s="0" t="s">
        <v>1027</v>
      </c>
      <c r="B500" s="0" t="s">
        <v>1026</v>
      </c>
      <c r="C500" s="0" t="s">
        <v>31</v>
      </c>
      <c r="D500" s="0" t="s">
        <v>132</v>
      </c>
      <c r="E500" s="0" t="s">
        <v>1311</v>
      </c>
      <c r="F500" s="0" t="s">
        <v>1312</v>
      </c>
      <c r="G500" s="0" t="s">
        <v>1313</v>
      </c>
    </row>
    <row r="501" customFormat="false" ht="15" hidden="false" customHeight="false" outlineLevel="0" collapsed="false">
      <c r="A501" s="0" t="s">
        <v>99</v>
      </c>
      <c r="B501" s="0" t="s">
        <v>98</v>
      </c>
      <c r="C501" s="0" t="s">
        <v>31</v>
      </c>
      <c r="D501" s="0" t="s">
        <v>132</v>
      </c>
      <c r="E501" s="0" t="s">
        <v>1311</v>
      </c>
      <c r="F501" s="0" t="s">
        <v>1312</v>
      </c>
      <c r="G501" s="0" t="s">
        <v>1313</v>
      </c>
    </row>
    <row r="502" customFormat="false" ht="15" hidden="false" customHeight="false" outlineLevel="0" collapsed="false">
      <c r="A502" s="0" t="s">
        <v>555</v>
      </c>
      <c r="B502" s="0" t="s">
        <v>554</v>
      </c>
      <c r="C502" s="0" t="s">
        <v>38</v>
      </c>
      <c r="D502" s="0" t="s">
        <v>494</v>
      </c>
      <c r="E502" s="0" t="s">
        <v>1308</v>
      </c>
      <c r="F502" s="0" t="s">
        <v>1309</v>
      </c>
      <c r="G502" s="0" t="s">
        <v>1310</v>
      </c>
    </row>
    <row r="503" customFormat="false" ht="15" hidden="false" customHeight="false" outlineLevel="0" collapsed="false">
      <c r="A503" s="0" t="s">
        <v>1124</v>
      </c>
      <c r="B503" s="0" t="s">
        <v>1123</v>
      </c>
      <c r="C503" s="0" t="s">
        <v>31</v>
      </c>
      <c r="D503" s="0" t="s">
        <v>132</v>
      </c>
      <c r="E503" s="0" t="s">
        <v>1311</v>
      </c>
      <c r="F503" s="0" t="s">
        <v>1312</v>
      </c>
      <c r="G503" s="0" t="s">
        <v>1313</v>
      </c>
    </row>
    <row r="504" customFormat="false" ht="15" hidden="false" customHeight="false" outlineLevel="0" collapsed="false">
      <c r="A504" s="0" t="s">
        <v>500</v>
      </c>
      <c r="B504" s="0" t="s">
        <v>499</v>
      </c>
      <c r="C504" s="0" t="s">
        <v>31</v>
      </c>
      <c r="D504" s="0" t="s">
        <v>132</v>
      </c>
      <c r="E504" s="0" t="s">
        <v>1311</v>
      </c>
      <c r="F504" s="0" t="s">
        <v>1312</v>
      </c>
      <c r="G504" s="0" t="s">
        <v>1313</v>
      </c>
    </row>
    <row r="505" customFormat="false" ht="15" hidden="false" customHeight="false" outlineLevel="0" collapsed="false">
      <c r="A505" s="0" t="s">
        <v>628</v>
      </c>
      <c r="B505" s="0" t="s">
        <v>627</v>
      </c>
      <c r="C505" s="0" t="s">
        <v>31</v>
      </c>
      <c r="D505" s="0" t="s">
        <v>132</v>
      </c>
      <c r="E505" s="0" t="s">
        <v>1311</v>
      </c>
      <c r="F505" s="0" t="s">
        <v>1312</v>
      </c>
      <c r="G505" s="0" t="s">
        <v>1313</v>
      </c>
    </row>
    <row r="506" customFormat="false" ht="15" hidden="false" customHeight="false" outlineLevel="0" collapsed="false">
      <c r="A506" s="0" t="s">
        <v>771</v>
      </c>
      <c r="B506" s="0" t="s">
        <v>770</v>
      </c>
      <c r="C506" s="0" t="s">
        <v>31</v>
      </c>
      <c r="D506" s="0" t="s">
        <v>132</v>
      </c>
      <c r="E506" s="0" t="s">
        <v>1311</v>
      </c>
      <c r="F506" s="0" t="s">
        <v>1312</v>
      </c>
      <c r="G506" s="0" t="s">
        <v>1313</v>
      </c>
    </row>
    <row r="507" customFormat="false" ht="15" hidden="false" customHeight="false" outlineLevel="0" collapsed="false">
      <c r="A507" s="0" t="s">
        <v>1128</v>
      </c>
      <c r="B507" s="0" t="s">
        <v>1127</v>
      </c>
      <c r="C507" s="0" t="s">
        <v>31</v>
      </c>
      <c r="D507" s="0" t="s">
        <v>132</v>
      </c>
      <c r="E507" s="0" t="s">
        <v>1311</v>
      </c>
      <c r="F507" s="0" t="s">
        <v>1312</v>
      </c>
      <c r="G507" s="0" t="s">
        <v>1313</v>
      </c>
    </row>
    <row r="508" customFormat="false" ht="15" hidden="false" customHeight="false" outlineLevel="0" collapsed="false">
      <c r="A508" s="0" t="s">
        <v>873</v>
      </c>
      <c r="B508" s="0" t="s">
        <v>872</v>
      </c>
      <c r="C508" s="0" t="s">
        <v>31</v>
      </c>
      <c r="D508" s="0" t="s">
        <v>132</v>
      </c>
      <c r="E508" s="0" t="s">
        <v>1311</v>
      </c>
      <c r="F508" s="0" t="s">
        <v>1312</v>
      </c>
      <c r="G508" s="0" t="s">
        <v>1313</v>
      </c>
    </row>
    <row r="509" customFormat="false" ht="15" hidden="false" customHeight="false" outlineLevel="0" collapsed="false">
      <c r="A509" s="0" t="s">
        <v>285</v>
      </c>
      <c r="B509" s="0" t="s">
        <v>284</v>
      </c>
      <c r="C509" s="0" t="s">
        <v>31</v>
      </c>
      <c r="D509" s="0" t="s">
        <v>132</v>
      </c>
      <c r="E509" s="0" t="s">
        <v>1311</v>
      </c>
      <c r="F509" s="0" t="s">
        <v>1312</v>
      </c>
      <c r="G509" s="0" t="s">
        <v>1313</v>
      </c>
    </row>
    <row r="510" customFormat="false" ht="15" hidden="false" customHeight="false" outlineLevel="0" collapsed="false">
      <c r="A510" s="0" t="s">
        <v>520</v>
      </c>
      <c r="B510" s="0" t="s">
        <v>519</v>
      </c>
      <c r="C510" s="0" t="s">
        <v>31</v>
      </c>
      <c r="D510" s="0" t="s">
        <v>132</v>
      </c>
      <c r="E510" s="0" t="s">
        <v>1311</v>
      </c>
      <c r="F510" s="0" t="s">
        <v>1312</v>
      </c>
      <c r="G510" s="0" t="s">
        <v>1313</v>
      </c>
    </row>
    <row r="511" customFormat="false" ht="15" hidden="false" customHeight="false" outlineLevel="0" collapsed="false">
      <c r="A511" s="0" t="s">
        <v>296</v>
      </c>
      <c r="B511" s="0" t="s">
        <v>295</v>
      </c>
      <c r="C511" s="0" t="s">
        <v>31</v>
      </c>
      <c r="D511" s="0" t="s">
        <v>132</v>
      </c>
      <c r="E511" s="0" t="s">
        <v>1311</v>
      </c>
      <c r="F511" s="0" t="s">
        <v>1312</v>
      </c>
      <c r="G511" s="0" t="s">
        <v>1313</v>
      </c>
    </row>
    <row r="512" customFormat="false" ht="15" hidden="false" customHeight="false" outlineLevel="0" collapsed="false">
      <c r="A512" s="0" t="s">
        <v>165</v>
      </c>
      <c r="B512" s="0" t="s">
        <v>164</v>
      </c>
      <c r="C512" s="0" t="s">
        <v>65</v>
      </c>
      <c r="D512" s="0" t="s">
        <v>1315</v>
      </c>
      <c r="E512" s="0" t="s">
        <v>1213</v>
      </c>
      <c r="F512" s="0" t="s">
        <v>1316</v>
      </c>
      <c r="G512" s="0" t="s">
        <v>1317</v>
      </c>
    </row>
    <row r="513" customFormat="false" ht="15" hidden="false" customHeight="false" outlineLevel="0" collapsed="false">
      <c r="A513" s="0" t="s">
        <v>1095</v>
      </c>
      <c r="B513" s="0" t="s">
        <v>1094</v>
      </c>
      <c r="C513" s="0" t="s">
        <v>31</v>
      </c>
      <c r="D513" s="0" t="s">
        <v>132</v>
      </c>
      <c r="E513" s="0" t="s">
        <v>1311</v>
      </c>
      <c r="F513" s="0" t="s">
        <v>1312</v>
      </c>
      <c r="G513" s="0" t="s">
        <v>1313</v>
      </c>
    </row>
    <row r="514" customFormat="false" ht="15" hidden="false" customHeight="false" outlineLevel="0" collapsed="false">
      <c r="A514" s="0" t="s">
        <v>1112</v>
      </c>
      <c r="B514" s="0" t="s">
        <v>1111</v>
      </c>
      <c r="C514" s="0" t="s">
        <v>31</v>
      </c>
      <c r="D514" s="0" t="s">
        <v>132</v>
      </c>
      <c r="E514" s="0" t="s">
        <v>1311</v>
      </c>
      <c r="F514" s="0" t="s">
        <v>1312</v>
      </c>
      <c r="G514" s="0" t="s">
        <v>1313</v>
      </c>
    </row>
    <row r="515" customFormat="false" ht="15" hidden="false" customHeight="false" outlineLevel="0" collapsed="false">
      <c r="A515" s="0" t="s">
        <v>1168</v>
      </c>
      <c r="B515" s="0" t="s">
        <v>1167</v>
      </c>
      <c r="C515" s="0" t="s">
        <v>31</v>
      </c>
      <c r="D515" s="0" t="s">
        <v>132</v>
      </c>
      <c r="E515" s="0" t="s">
        <v>1311</v>
      </c>
      <c r="F515" s="0" t="s">
        <v>1312</v>
      </c>
      <c r="G515" s="0" t="s">
        <v>1313</v>
      </c>
    </row>
    <row r="516" customFormat="false" ht="15" hidden="false" customHeight="false" outlineLevel="0" collapsed="false">
      <c r="A516" s="0" t="s">
        <v>1077</v>
      </c>
      <c r="B516" s="0" t="s">
        <v>1076</v>
      </c>
      <c r="C516" s="0" t="s">
        <v>31</v>
      </c>
      <c r="D516" s="0" t="s">
        <v>132</v>
      </c>
      <c r="E516" s="0" t="s">
        <v>1311</v>
      </c>
      <c r="F516" s="0" t="s">
        <v>1312</v>
      </c>
      <c r="G516" s="0" t="s">
        <v>1313</v>
      </c>
    </row>
    <row r="517" customFormat="false" ht="15" hidden="false" customHeight="false" outlineLevel="0" collapsed="false">
      <c r="A517" s="0" t="s">
        <v>801</v>
      </c>
      <c r="B517" s="0" t="s">
        <v>800</v>
      </c>
      <c r="C517" s="0" t="s">
        <v>31</v>
      </c>
      <c r="D517" s="0" t="s">
        <v>132</v>
      </c>
      <c r="E517" s="0" t="s">
        <v>1311</v>
      </c>
      <c r="F517" s="0" t="s">
        <v>1312</v>
      </c>
      <c r="G517" s="0" t="s">
        <v>1313</v>
      </c>
    </row>
    <row r="518" customFormat="false" ht="15" hidden="false" customHeight="false" outlineLevel="0" collapsed="false">
      <c r="A518" s="0" t="s">
        <v>995</v>
      </c>
      <c r="B518" s="0" t="s">
        <v>994</v>
      </c>
      <c r="C518" s="0" t="s">
        <v>31</v>
      </c>
      <c r="D518" s="0" t="s">
        <v>132</v>
      </c>
      <c r="E518" s="0" t="s">
        <v>1311</v>
      </c>
      <c r="F518" s="0" t="s">
        <v>1312</v>
      </c>
      <c r="G518" s="0" t="s">
        <v>1313</v>
      </c>
    </row>
    <row r="519" customFormat="false" ht="15" hidden="false" customHeight="false" outlineLevel="0" collapsed="false">
      <c r="A519" s="0" t="s">
        <v>1069</v>
      </c>
      <c r="B519" s="0" t="s">
        <v>1068</v>
      </c>
      <c r="C519" s="0" t="s">
        <v>31</v>
      </c>
      <c r="D519" s="0" t="s">
        <v>132</v>
      </c>
      <c r="E519" s="0" t="s">
        <v>1311</v>
      </c>
      <c r="F519" s="0" t="s">
        <v>1312</v>
      </c>
      <c r="G519" s="0" t="s">
        <v>1313</v>
      </c>
    </row>
    <row r="520" customFormat="false" ht="15" hidden="false" customHeight="false" outlineLevel="0" collapsed="false">
      <c r="A520" s="0" t="s">
        <v>608</v>
      </c>
      <c r="B520" s="0" t="s">
        <v>607</v>
      </c>
      <c r="C520" s="0" t="s">
        <v>31</v>
      </c>
      <c r="D520" s="0" t="s">
        <v>132</v>
      </c>
      <c r="E520" s="0" t="s">
        <v>1311</v>
      </c>
      <c r="F520" s="0" t="s">
        <v>1312</v>
      </c>
      <c r="G520" s="0" t="s">
        <v>1313</v>
      </c>
    </row>
    <row r="521" customFormat="false" ht="15" hidden="false" customHeight="false" outlineLevel="0" collapsed="false">
      <c r="A521" s="0" t="s">
        <v>789</v>
      </c>
      <c r="B521" s="0" t="s">
        <v>788</v>
      </c>
      <c r="C521" s="0" t="s">
        <v>31</v>
      </c>
      <c r="D521" s="0" t="s">
        <v>132</v>
      </c>
      <c r="E521" s="0" t="s">
        <v>1311</v>
      </c>
      <c r="F521" s="0" t="s">
        <v>1312</v>
      </c>
      <c r="G521" s="0" t="s">
        <v>1313</v>
      </c>
    </row>
    <row r="522" customFormat="false" ht="15" hidden="false" customHeight="false" outlineLevel="0" collapsed="false">
      <c r="A522" s="0" t="s">
        <v>1089</v>
      </c>
      <c r="B522" s="0" t="s">
        <v>1088</v>
      </c>
      <c r="C522" s="0" t="s">
        <v>31</v>
      </c>
      <c r="D522" s="0" t="s">
        <v>132</v>
      </c>
      <c r="E522" s="0" t="s">
        <v>1311</v>
      </c>
      <c r="F522" s="0" t="s">
        <v>1312</v>
      </c>
      <c r="G522" s="0" t="s">
        <v>1313</v>
      </c>
    </row>
    <row r="523" customFormat="false" ht="15" hidden="false" customHeight="false" outlineLevel="0" collapsed="false">
      <c r="A523" s="0" t="s">
        <v>692</v>
      </c>
      <c r="B523" s="0" t="s">
        <v>691</v>
      </c>
      <c r="C523" s="0" t="s">
        <v>31</v>
      </c>
      <c r="D523" s="0" t="s">
        <v>132</v>
      </c>
      <c r="E523" s="0" t="s">
        <v>1311</v>
      </c>
      <c r="F523" s="0" t="s">
        <v>1312</v>
      </c>
      <c r="G523" s="0" t="s">
        <v>1313</v>
      </c>
    </row>
    <row r="524" customFormat="false" ht="15" hidden="false" customHeight="false" outlineLevel="0" collapsed="false">
      <c r="A524" s="0" t="s">
        <v>543</v>
      </c>
      <c r="B524" s="0" t="s">
        <v>542</v>
      </c>
      <c r="C524" s="0" t="s">
        <v>31</v>
      </c>
      <c r="D524" s="0" t="s">
        <v>132</v>
      </c>
      <c r="E524" s="0" t="s">
        <v>1311</v>
      </c>
      <c r="F524" s="0" t="s">
        <v>1312</v>
      </c>
      <c r="G524" s="0" t="s">
        <v>1313</v>
      </c>
    </row>
    <row r="525" customFormat="false" ht="15" hidden="false" customHeight="false" outlineLevel="0" collapsed="false">
      <c r="A525" s="0" t="s">
        <v>969</v>
      </c>
      <c r="B525" s="0" t="s">
        <v>968</v>
      </c>
      <c r="C525" s="0" t="s">
        <v>132</v>
      </c>
      <c r="D525" s="0" t="s">
        <v>1311</v>
      </c>
      <c r="E525" s="0" t="s">
        <v>1312</v>
      </c>
      <c r="F525" s="0" t="s">
        <v>1313</v>
      </c>
      <c r="G525" s="0" t="s">
        <v>1314</v>
      </c>
      <c r="H525" s="0" t="s">
        <v>1290</v>
      </c>
    </row>
    <row r="526" customFormat="false" ht="15" hidden="false" customHeight="false" outlineLevel="0" collapsed="false">
      <c r="A526" s="0" t="s">
        <v>963</v>
      </c>
      <c r="B526" s="0" t="s">
        <v>962</v>
      </c>
      <c r="C526" s="0" t="s">
        <v>38</v>
      </c>
      <c r="D526" s="0" t="s">
        <v>494</v>
      </c>
      <c r="E526" s="0" t="s">
        <v>1308</v>
      </c>
      <c r="F526" s="0" t="s">
        <v>1309</v>
      </c>
      <c r="G526" s="0" t="s">
        <v>1310</v>
      </c>
    </row>
    <row r="527" customFormat="false" ht="15" hidden="false" customHeight="false" outlineLevel="0" collapsed="false">
      <c r="A527" s="0" t="s">
        <v>955</v>
      </c>
      <c r="B527" s="0" t="s">
        <v>954</v>
      </c>
      <c r="C527" s="0" t="s">
        <v>38</v>
      </c>
      <c r="D527" s="0" t="s">
        <v>494</v>
      </c>
      <c r="E527" s="0" t="s">
        <v>1308</v>
      </c>
      <c r="F527" s="0" t="s">
        <v>1309</v>
      </c>
      <c r="G527" s="0" t="s">
        <v>1310</v>
      </c>
    </row>
    <row r="528" customFormat="false" ht="15" hidden="false" customHeight="false" outlineLevel="0" collapsed="false">
      <c r="A528" s="0" t="s">
        <v>638</v>
      </c>
      <c r="B528" s="0" t="s">
        <v>637</v>
      </c>
      <c r="C528" s="0" t="s">
        <v>31</v>
      </c>
      <c r="D528" s="0" t="s">
        <v>132</v>
      </c>
      <c r="E528" s="0" t="s">
        <v>1311</v>
      </c>
      <c r="F528" s="0" t="s">
        <v>1312</v>
      </c>
      <c r="G528" s="0" t="s">
        <v>1313</v>
      </c>
    </row>
    <row r="529" customFormat="false" ht="15" hidden="false" customHeight="false" outlineLevel="0" collapsed="false">
      <c r="A529" s="0" t="s">
        <v>769</v>
      </c>
      <c r="B529" s="0" t="s">
        <v>768</v>
      </c>
      <c r="C529" s="0" t="s">
        <v>31</v>
      </c>
      <c r="D529" s="0" t="s">
        <v>132</v>
      </c>
      <c r="E529" s="0" t="s">
        <v>1311</v>
      </c>
      <c r="F529" s="0" t="s">
        <v>1312</v>
      </c>
      <c r="G529" s="0" t="s">
        <v>1313</v>
      </c>
    </row>
    <row r="530" customFormat="false" ht="15" hidden="false" customHeight="false" outlineLevel="0" collapsed="false">
      <c r="A530" s="0" t="s">
        <v>857</v>
      </c>
      <c r="B530" s="0" t="s">
        <v>856</v>
      </c>
      <c r="C530" s="0" t="s">
        <v>31</v>
      </c>
      <c r="D530" s="0" t="s">
        <v>132</v>
      </c>
      <c r="E530" s="0" t="s">
        <v>1311</v>
      </c>
      <c r="F530" s="0" t="s">
        <v>1312</v>
      </c>
      <c r="G530" s="0" t="s">
        <v>1313</v>
      </c>
    </row>
    <row r="531" customFormat="false" ht="15" hidden="false" customHeight="false" outlineLevel="0" collapsed="false">
      <c r="A531" s="0" t="s">
        <v>565</v>
      </c>
      <c r="B531" s="0" t="s">
        <v>564</v>
      </c>
      <c r="C531" s="0" t="s">
        <v>31</v>
      </c>
      <c r="D531" s="0" t="s">
        <v>132</v>
      </c>
      <c r="E531" s="0" t="s">
        <v>1311</v>
      </c>
      <c r="F531" s="0" t="s">
        <v>1312</v>
      </c>
      <c r="G531" s="0" t="s">
        <v>1313</v>
      </c>
    </row>
    <row r="532" customFormat="false" ht="15" hidden="false" customHeight="false" outlineLevel="0" collapsed="false">
      <c r="A532" s="0" t="s">
        <v>819</v>
      </c>
      <c r="B532" s="0" t="s">
        <v>818</v>
      </c>
      <c r="C532" s="0" t="s">
        <v>31</v>
      </c>
      <c r="D532" s="0" t="s">
        <v>132</v>
      </c>
      <c r="E532" s="0" t="s">
        <v>1311</v>
      </c>
      <c r="F532" s="0" t="s">
        <v>1312</v>
      </c>
      <c r="G532" s="0" t="s">
        <v>1313</v>
      </c>
    </row>
    <row r="533" customFormat="false" ht="15" hidden="false" customHeight="false" outlineLevel="0" collapsed="false">
      <c r="A533" s="0" t="s">
        <v>512</v>
      </c>
      <c r="B533" s="0" t="s">
        <v>511</v>
      </c>
      <c r="C533" s="0" t="s">
        <v>31</v>
      </c>
      <c r="D533" s="0" t="s">
        <v>132</v>
      </c>
      <c r="E533" s="0" t="s">
        <v>1311</v>
      </c>
      <c r="F533" s="0" t="s">
        <v>1312</v>
      </c>
      <c r="G533" s="0" t="s">
        <v>1313</v>
      </c>
    </row>
    <row r="534" customFormat="false" ht="15" hidden="false" customHeight="false" outlineLevel="0" collapsed="false">
      <c r="A534" s="0" t="s">
        <v>743</v>
      </c>
      <c r="B534" s="0" t="s">
        <v>742</v>
      </c>
      <c r="C534" s="0" t="s">
        <v>31</v>
      </c>
      <c r="D534" s="0" t="s">
        <v>132</v>
      </c>
      <c r="E534" s="0" t="s">
        <v>1311</v>
      </c>
      <c r="F534" s="0" t="s">
        <v>1312</v>
      </c>
      <c r="G534" s="0" t="s">
        <v>1313</v>
      </c>
    </row>
    <row r="535" customFormat="false" ht="15" hidden="false" customHeight="false" outlineLevel="0" collapsed="false">
      <c r="A535" s="0" t="s">
        <v>765</v>
      </c>
      <c r="B535" s="0" t="s">
        <v>764</v>
      </c>
      <c r="C535" s="0" t="s">
        <v>31</v>
      </c>
      <c r="D535" s="0" t="s">
        <v>132</v>
      </c>
      <c r="E535" s="0" t="s">
        <v>1311</v>
      </c>
      <c r="F535" s="0" t="s">
        <v>1312</v>
      </c>
      <c r="G535" s="0" t="s">
        <v>1313</v>
      </c>
    </row>
    <row r="536" customFormat="false" ht="15" hidden="false" customHeight="false" outlineLevel="0" collapsed="false">
      <c r="A536" s="0" t="s">
        <v>1116</v>
      </c>
      <c r="B536" s="0" t="s">
        <v>1115</v>
      </c>
      <c r="C536" s="0" t="s">
        <v>31</v>
      </c>
      <c r="D536" s="0" t="s">
        <v>132</v>
      </c>
      <c r="E536" s="0" t="s">
        <v>1311</v>
      </c>
      <c r="F536" s="0" t="s">
        <v>1312</v>
      </c>
      <c r="G536" s="0" t="s">
        <v>1313</v>
      </c>
    </row>
    <row r="537" customFormat="false" ht="15" hidden="false" customHeight="false" outlineLevel="0" collapsed="false">
      <c r="A537" s="0" t="s">
        <v>171</v>
      </c>
      <c r="B537" s="0" t="s">
        <v>170</v>
      </c>
      <c r="C537" s="0" t="s">
        <v>31</v>
      </c>
      <c r="D537" s="0" t="s">
        <v>132</v>
      </c>
      <c r="E537" s="0" t="s">
        <v>1311</v>
      </c>
      <c r="F537" s="0" t="s">
        <v>1312</v>
      </c>
      <c r="G537" s="0" t="s">
        <v>1313</v>
      </c>
    </row>
    <row r="538" customFormat="false" ht="15" hidden="false" customHeight="false" outlineLevel="0" collapsed="false">
      <c r="A538" s="0" t="s">
        <v>174</v>
      </c>
      <c r="B538" s="0" t="s">
        <v>173</v>
      </c>
      <c r="C538" s="0" t="s">
        <v>31</v>
      </c>
      <c r="D538" s="0" t="s">
        <v>132</v>
      </c>
      <c r="E538" s="0" t="s">
        <v>1311</v>
      </c>
      <c r="F538" s="0" t="s">
        <v>1312</v>
      </c>
      <c r="G538" s="0" t="s">
        <v>1313</v>
      </c>
    </row>
    <row r="539" customFormat="false" ht="15" hidden="false" customHeight="false" outlineLevel="0" collapsed="false">
      <c r="A539" s="0" t="s">
        <v>1130</v>
      </c>
      <c r="B539" s="0" t="s">
        <v>1129</v>
      </c>
      <c r="C539" s="0" t="s">
        <v>31</v>
      </c>
      <c r="D539" s="0" t="s">
        <v>132</v>
      </c>
      <c r="E539" s="0" t="s">
        <v>1311</v>
      </c>
      <c r="F539" s="0" t="s">
        <v>1312</v>
      </c>
      <c r="G539" s="0" t="s">
        <v>1313</v>
      </c>
    </row>
    <row r="540" customFormat="false" ht="15" hidden="false" customHeight="false" outlineLevel="0" collapsed="false">
      <c r="A540" s="0" t="s">
        <v>159</v>
      </c>
      <c r="B540" s="0" t="s">
        <v>158</v>
      </c>
      <c r="C540" s="0" t="s">
        <v>31</v>
      </c>
      <c r="D540" s="0" t="s">
        <v>132</v>
      </c>
      <c r="E540" s="0" t="s">
        <v>1311</v>
      </c>
      <c r="F540" s="0" t="s">
        <v>1312</v>
      </c>
      <c r="G540" s="0" t="s">
        <v>1313</v>
      </c>
    </row>
    <row r="541" customFormat="false" ht="15" hidden="false" customHeight="false" outlineLevel="0" collapsed="false">
      <c r="A541" s="0" t="s">
        <v>1075</v>
      </c>
      <c r="B541" s="0" t="s">
        <v>1074</v>
      </c>
      <c r="C541" s="0" t="s">
        <v>31</v>
      </c>
      <c r="D541" s="0" t="s">
        <v>132</v>
      </c>
      <c r="E541" s="0" t="s">
        <v>1311</v>
      </c>
      <c r="F541" s="0" t="s">
        <v>1312</v>
      </c>
      <c r="G541" s="0" t="s">
        <v>1313</v>
      </c>
    </row>
    <row r="542" customFormat="false" ht="15" hidden="false" customHeight="false" outlineLevel="0" collapsed="false">
      <c r="A542" s="0" t="s">
        <v>368</v>
      </c>
      <c r="B542" s="0" t="s">
        <v>367</v>
      </c>
      <c r="C542" s="0" t="s">
        <v>31</v>
      </c>
      <c r="D542" s="0" t="s">
        <v>132</v>
      </c>
      <c r="E542" s="0" t="s">
        <v>1311</v>
      </c>
      <c r="F542" s="0" t="s">
        <v>1312</v>
      </c>
      <c r="G542" s="0" t="s">
        <v>1313</v>
      </c>
    </row>
    <row r="543" customFormat="false" ht="15" hidden="false" customHeight="false" outlineLevel="0" collapsed="false">
      <c r="A543" s="0" t="s">
        <v>1051</v>
      </c>
      <c r="B543" s="0" t="s">
        <v>1050</v>
      </c>
      <c r="C543" s="0" t="s">
        <v>31</v>
      </c>
      <c r="D543" s="0" t="s">
        <v>132</v>
      </c>
      <c r="E543" s="0" t="s">
        <v>1311</v>
      </c>
      <c r="F543" s="0" t="s">
        <v>1312</v>
      </c>
      <c r="G543" s="0" t="s">
        <v>1313</v>
      </c>
    </row>
    <row r="544" customFormat="false" ht="15" hidden="false" customHeight="false" outlineLevel="0" collapsed="false">
      <c r="A544" s="0" t="s">
        <v>843</v>
      </c>
      <c r="B544" s="0" t="s">
        <v>842</v>
      </c>
      <c r="C544" s="0" t="s">
        <v>31</v>
      </c>
      <c r="D544" s="0" t="s">
        <v>132</v>
      </c>
      <c r="E544" s="0" t="s">
        <v>1311</v>
      </c>
      <c r="F544" s="0" t="s">
        <v>1312</v>
      </c>
      <c r="G544" s="0" t="s">
        <v>1313</v>
      </c>
    </row>
    <row r="545" customFormat="false" ht="15" hidden="false" customHeight="false" outlineLevel="0" collapsed="false">
      <c r="A545" s="0" t="s">
        <v>240</v>
      </c>
      <c r="B545" s="0" t="s">
        <v>239</v>
      </c>
      <c r="C545" s="0" t="s">
        <v>31</v>
      </c>
      <c r="D545" s="0" t="s">
        <v>132</v>
      </c>
      <c r="E545" s="0" t="s">
        <v>1311</v>
      </c>
      <c r="F545" s="0" t="s">
        <v>1312</v>
      </c>
      <c r="G545" s="0" t="s">
        <v>1313</v>
      </c>
    </row>
    <row r="546" customFormat="false" ht="15" hidden="false" customHeight="false" outlineLevel="0" collapsed="false">
      <c r="A546" s="0" t="s">
        <v>729</v>
      </c>
      <c r="B546" s="0" t="s">
        <v>728</v>
      </c>
      <c r="C546" s="0" t="s">
        <v>31</v>
      </c>
      <c r="D546" s="0" t="s">
        <v>132</v>
      </c>
      <c r="E546" s="0" t="s">
        <v>1311</v>
      </c>
      <c r="F546" s="0" t="s">
        <v>1312</v>
      </c>
      <c r="G546" s="0" t="s">
        <v>1313</v>
      </c>
    </row>
    <row r="547" customFormat="false" ht="15" hidden="false" customHeight="false" outlineLevel="0" collapsed="false">
      <c r="A547" s="0" t="s">
        <v>1126</v>
      </c>
      <c r="B547" s="0" t="s">
        <v>1125</v>
      </c>
      <c r="C547" s="0" t="s">
        <v>31</v>
      </c>
      <c r="D547" s="0" t="s">
        <v>132</v>
      </c>
      <c r="E547" s="0" t="s">
        <v>1311</v>
      </c>
      <c r="F547" s="0" t="s">
        <v>1312</v>
      </c>
      <c r="G547" s="0" t="s">
        <v>1313</v>
      </c>
    </row>
    <row r="548" customFormat="false" ht="15" hidden="false" customHeight="false" outlineLevel="0" collapsed="false">
      <c r="A548" s="0" t="s">
        <v>839</v>
      </c>
      <c r="B548" s="0" t="s">
        <v>838</v>
      </c>
      <c r="C548" s="0" t="s">
        <v>31</v>
      </c>
      <c r="D548" s="0" t="s">
        <v>132</v>
      </c>
      <c r="E548" s="0" t="s">
        <v>1311</v>
      </c>
      <c r="F548" s="0" t="s">
        <v>1312</v>
      </c>
      <c r="G548" s="0" t="s">
        <v>1313</v>
      </c>
    </row>
    <row r="549" customFormat="false" ht="15" hidden="false" customHeight="false" outlineLevel="0" collapsed="false">
      <c r="A549" s="0" t="s">
        <v>821</v>
      </c>
      <c r="B549" s="0" t="s">
        <v>820</v>
      </c>
      <c r="C549" s="0" t="s">
        <v>38</v>
      </c>
      <c r="D549" s="0" t="s">
        <v>494</v>
      </c>
      <c r="E549" s="0" t="s">
        <v>1308</v>
      </c>
      <c r="F549" s="0" t="s">
        <v>1309</v>
      </c>
      <c r="G549" s="0" t="s">
        <v>1310</v>
      </c>
    </row>
    <row r="550" customFormat="false" ht="15" hidden="false" customHeight="false" outlineLevel="0" collapsed="false">
      <c r="A550" s="0" t="s">
        <v>1114</v>
      </c>
      <c r="B550" s="0" t="s">
        <v>1113</v>
      </c>
      <c r="C550" s="0" t="s">
        <v>31</v>
      </c>
      <c r="D550" s="0" t="s">
        <v>132</v>
      </c>
      <c r="E550" s="0" t="s">
        <v>1311</v>
      </c>
      <c r="F550" s="0" t="s">
        <v>1312</v>
      </c>
      <c r="G550" s="0" t="s">
        <v>1313</v>
      </c>
    </row>
    <row r="551" customFormat="false" ht="15" hidden="false" customHeight="false" outlineLevel="0" collapsed="false">
      <c r="A551" s="0" t="s">
        <v>475</v>
      </c>
      <c r="B551" s="0" t="s">
        <v>474</v>
      </c>
      <c r="C551" s="0" t="s">
        <v>31</v>
      </c>
      <c r="D551" s="0" t="s">
        <v>132</v>
      </c>
      <c r="E551" s="0" t="s">
        <v>1311</v>
      </c>
      <c r="F551" s="0" t="s">
        <v>1312</v>
      </c>
      <c r="G551" s="0" t="s">
        <v>1313</v>
      </c>
    </row>
    <row r="552" customFormat="false" ht="15" hidden="false" customHeight="false" outlineLevel="0" collapsed="false">
      <c r="A552" s="0" t="s">
        <v>865</v>
      </c>
      <c r="B552" s="0" t="s">
        <v>864</v>
      </c>
      <c r="C552" s="0" t="s">
        <v>31</v>
      </c>
      <c r="D552" s="0" t="s">
        <v>132</v>
      </c>
      <c r="E552" s="0" t="s">
        <v>1311</v>
      </c>
      <c r="F552" s="0" t="s">
        <v>1312</v>
      </c>
      <c r="G552" s="0" t="s">
        <v>1313</v>
      </c>
    </row>
    <row r="553" customFormat="false" ht="15" hidden="false" customHeight="false" outlineLevel="0" collapsed="false">
      <c r="A553" s="0" t="s">
        <v>466</v>
      </c>
      <c r="B553" s="0" t="s">
        <v>465</v>
      </c>
      <c r="C553" s="0" t="s">
        <v>31</v>
      </c>
      <c r="D553" s="0" t="s">
        <v>132</v>
      </c>
      <c r="E553" s="0" t="s">
        <v>1311</v>
      </c>
      <c r="F553" s="0" t="s">
        <v>1312</v>
      </c>
      <c r="G553" s="0" t="s">
        <v>1313</v>
      </c>
    </row>
    <row r="554" customFormat="false" ht="15" hidden="false" customHeight="false" outlineLevel="0" collapsed="false">
      <c r="A554" s="0" t="s">
        <v>777</v>
      </c>
      <c r="B554" s="0" t="s">
        <v>776</v>
      </c>
      <c r="C554" s="0" t="s">
        <v>31</v>
      </c>
      <c r="D554" s="0" t="s">
        <v>132</v>
      </c>
      <c r="E554" s="0" t="s">
        <v>1311</v>
      </c>
      <c r="F554" s="0" t="s">
        <v>1312</v>
      </c>
      <c r="G554" s="0" t="s">
        <v>1313</v>
      </c>
    </row>
    <row r="555" customFormat="false" ht="15" hidden="false" customHeight="false" outlineLevel="0" collapsed="false">
      <c r="A555" s="0" t="s">
        <v>680</v>
      </c>
      <c r="B555" s="0" t="s">
        <v>679</v>
      </c>
      <c r="C555" s="0" t="s">
        <v>31</v>
      </c>
      <c r="D555" s="0" t="s">
        <v>132</v>
      </c>
      <c r="E555" s="0" t="s">
        <v>1311</v>
      </c>
      <c r="F555" s="0" t="s">
        <v>1312</v>
      </c>
      <c r="G555" s="0" t="s">
        <v>1313</v>
      </c>
    </row>
    <row r="556" customFormat="false" ht="15" hidden="false" customHeight="false" outlineLevel="0" collapsed="false">
      <c r="A556" s="0" t="s">
        <v>644</v>
      </c>
      <c r="B556" s="0" t="s">
        <v>643</v>
      </c>
      <c r="C556" s="0" t="s">
        <v>38</v>
      </c>
      <c r="D556" s="0" t="s">
        <v>494</v>
      </c>
      <c r="E556" s="0" t="s">
        <v>1308</v>
      </c>
      <c r="F556" s="0" t="s">
        <v>1309</v>
      </c>
      <c r="G556" s="0" t="s">
        <v>1310</v>
      </c>
    </row>
    <row r="557" customFormat="false" ht="15" hidden="false" customHeight="false" outlineLevel="0" collapsed="false">
      <c r="A557" s="0" t="s">
        <v>945</v>
      </c>
      <c r="B557" s="0" t="s">
        <v>944</v>
      </c>
      <c r="C557" s="0" t="s">
        <v>31</v>
      </c>
      <c r="D557" s="0" t="s">
        <v>132</v>
      </c>
      <c r="E557" s="0" t="s">
        <v>1311</v>
      </c>
      <c r="F557" s="0" t="s">
        <v>1312</v>
      </c>
      <c r="G557" s="0" t="s">
        <v>1313</v>
      </c>
    </row>
    <row r="558" customFormat="false" ht="15" hidden="false" customHeight="false" outlineLevel="0" collapsed="false">
      <c r="A558" s="0" t="s">
        <v>122</v>
      </c>
      <c r="B558" s="0" t="s">
        <v>121</v>
      </c>
      <c r="C558" s="0" t="s">
        <v>31</v>
      </c>
      <c r="D558" s="0" t="s">
        <v>132</v>
      </c>
      <c r="E558" s="0" t="s">
        <v>1311</v>
      </c>
      <c r="F558" s="0" t="s">
        <v>1312</v>
      </c>
      <c r="G558" s="0" t="s">
        <v>1313</v>
      </c>
    </row>
    <row r="559" customFormat="false" ht="15" hidden="false" customHeight="false" outlineLevel="0" collapsed="false">
      <c r="A559" s="0" t="s">
        <v>869</v>
      </c>
      <c r="B559" s="0" t="s">
        <v>868</v>
      </c>
      <c r="C559" s="0" t="s">
        <v>31</v>
      </c>
      <c r="D559" s="0" t="s">
        <v>132</v>
      </c>
      <c r="E559" s="0" t="s">
        <v>1311</v>
      </c>
      <c r="F559" s="0" t="s">
        <v>1312</v>
      </c>
      <c r="G559" s="0" t="s">
        <v>1313</v>
      </c>
    </row>
    <row r="560" customFormat="false" ht="15" hidden="false" customHeight="false" outlineLevel="0" collapsed="false">
      <c r="A560" s="0" t="s">
        <v>213</v>
      </c>
      <c r="B560" s="0" t="s">
        <v>212</v>
      </c>
      <c r="C560" s="0" t="s">
        <v>31</v>
      </c>
      <c r="D560" s="0" t="s">
        <v>132</v>
      </c>
      <c r="E560" s="0" t="s">
        <v>1311</v>
      </c>
      <c r="F560" s="0" t="s">
        <v>1312</v>
      </c>
      <c r="G560" s="0" t="s">
        <v>1313</v>
      </c>
    </row>
    <row r="561" customFormat="false" ht="15" hidden="false" customHeight="false" outlineLevel="0" collapsed="false">
      <c r="A561" s="0" t="s">
        <v>1067</v>
      </c>
      <c r="B561" s="0" t="s">
        <v>1066</v>
      </c>
      <c r="C561" s="0" t="s">
        <v>31</v>
      </c>
      <c r="D561" s="0" t="s">
        <v>132</v>
      </c>
      <c r="E561" s="0" t="s">
        <v>1311</v>
      </c>
      <c r="F561" s="0" t="s">
        <v>1312</v>
      </c>
      <c r="G561" s="0" t="s">
        <v>1313</v>
      </c>
    </row>
    <row r="562" customFormat="false" ht="15" hidden="false" customHeight="false" outlineLevel="0" collapsed="false">
      <c r="A562" s="0" t="s">
        <v>1017</v>
      </c>
      <c r="B562" s="0" t="s">
        <v>1016</v>
      </c>
      <c r="C562" s="0" t="s">
        <v>31</v>
      </c>
      <c r="D562" s="0" t="s">
        <v>132</v>
      </c>
      <c r="E562" s="0" t="s">
        <v>1311</v>
      </c>
      <c r="F562" s="0" t="s">
        <v>1312</v>
      </c>
      <c r="G562" s="0" t="s">
        <v>1313</v>
      </c>
    </row>
    <row r="563" customFormat="false" ht="15" hidden="false" customHeight="false" outlineLevel="0" collapsed="false">
      <c r="A563" s="0" t="s">
        <v>933</v>
      </c>
      <c r="B563" s="0" t="s">
        <v>932</v>
      </c>
      <c r="C563" s="0" t="s">
        <v>31</v>
      </c>
      <c r="D563" s="0" t="s">
        <v>132</v>
      </c>
      <c r="E563" s="0" t="s">
        <v>1311</v>
      </c>
      <c r="F563" s="0" t="s">
        <v>1312</v>
      </c>
      <c r="G563" s="0" t="s">
        <v>1313</v>
      </c>
    </row>
    <row r="564" customFormat="false" ht="15" hidden="false" customHeight="false" outlineLevel="0" collapsed="false">
      <c r="A564" s="0" t="s">
        <v>207</v>
      </c>
      <c r="B564" s="0" t="s">
        <v>206</v>
      </c>
      <c r="C564" s="0" t="s">
        <v>31</v>
      </c>
      <c r="D564" s="0" t="s">
        <v>132</v>
      </c>
      <c r="E564" s="0" t="s">
        <v>1311</v>
      </c>
      <c r="F564" s="0" t="s">
        <v>1312</v>
      </c>
      <c r="G564" s="0" t="s">
        <v>1313</v>
      </c>
    </row>
    <row r="565" customFormat="false" ht="15" hidden="false" customHeight="false" outlineLevel="0" collapsed="false">
      <c r="A565" s="0" t="s">
        <v>421</v>
      </c>
      <c r="B565" s="0" t="s">
        <v>420</v>
      </c>
      <c r="C565" s="0" t="s">
        <v>31</v>
      </c>
      <c r="D565" s="0" t="s">
        <v>132</v>
      </c>
      <c r="E565" s="0" t="s">
        <v>1311</v>
      </c>
      <c r="F565" s="0" t="s">
        <v>1312</v>
      </c>
      <c r="G565" s="0" t="s">
        <v>1313</v>
      </c>
    </row>
    <row r="566" customFormat="false" ht="15" hidden="false" customHeight="false" outlineLevel="0" collapsed="false">
      <c r="A566" s="0" t="s">
        <v>1188</v>
      </c>
      <c r="B566" s="0" t="s">
        <v>1187</v>
      </c>
      <c r="C566" s="0" t="s">
        <v>31</v>
      </c>
      <c r="D566" s="0" t="s">
        <v>132</v>
      </c>
      <c r="E566" s="0" t="s">
        <v>1311</v>
      </c>
      <c r="F566" s="0" t="s">
        <v>1312</v>
      </c>
      <c r="G566" s="0" t="s">
        <v>1313</v>
      </c>
    </row>
    <row r="567" customFormat="false" ht="15" hidden="false" customHeight="false" outlineLevel="0" collapsed="false">
      <c r="A567" s="0" t="s">
        <v>612</v>
      </c>
      <c r="B567" s="0" t="s">
        <v>611</v>
      </c>
      <c r="C567" s="0" t="s">
        <v>31</v>
      </c>
      <c r="D567" s="0" t="s">
        <v>132</v>
      </c>
      <c r="E567" s="0" t="s">
        <v>1311</v>
      </c>
      <c r="F567" s="0" t="s">
        <v>1312</v>
      </c>
      <c r="G567" s="0" t="s">
        <v>1313</v>
      </c>
    </row>
    <row r="568" customFormat="false" ht="15" hidden="false" customHeight="false" outlineLevel="0" collapsed="false">
      <c r="A568" s="0" t="s">
        <v>981</v>
      </c>
      <c r="B568" s="0" t="s">
        <v>980</v>
      </c>
      <c r="C568" s="0" t="s">
        <v>31</v>
      </c>
      <c r="D568" s="0" t="s">
        <v>132</v>
      </c>
      <c r="E568" s="0" t="s">
        <v>1311</v>
      </c>
      <c r="F568" s="0" t="s">
        <v>1312</v>
      </c>
      <c r="G568" s="0" t="s">
        <v>1313</v>
      </c>
    </row>
    <row r="569" customFormat="false" ht="15" hidden="false" customHeight="false" outlineLevel="0" collapsed="false">
      <c r="A569" s="0" t="s">
        <v>1142</v>
      </c>
      <c r="B569" s="0" t="s">
        <v>1141</v>
      </c>
      <c r="C569" s="0" t="s">
        <v>31</v>
      </c>
      <c r="D569" s="0" t="s">
        <v>132</v>
      </c>
      <c r="E569" s="0" t="s">
        <v>1311</v>
      </c>
      <c r="F569" s="0" t="s">
        <v>1312</v>
      </c>
      <c r="G569" s="0" t="s">
        <v>1313</v>
      </c>
    </row>
    <row r="570" customFormat="false" ht="15" hidden="false" customHeight="false" outlineLevel="0" collapsed="false">
      <c r="A570" s="0" t="s">
        <v>648</v>
      </c>
      <c r="B570" s="0" t="s">
        <v>647</v>
      </c>
      <c r="C570" s="0" t="s">
        <v>31</v>
      </c>
      <c r="D570" s="0" t="s">
        <v>132</v>
      </c>
      <c r="E570" s="0" t="s">
        <v>1311</v>
      </c>
      <c r="F570" s="0" t="s">
        <v>1312</v>
      </c>
      <c r="G570" s="0" t="s">
        <v>1313</v>
      </c>
    </row>
    <row r="571" customFormat="false" ht="15" hidden="false" customHeight="false" outlineLevel="0" collapsed="false">
      <c r="A571" s="0" t="s">
        <v>152</v>
      </c>
      <c r="B571" s="0" t="s">
        <v>151</v>
      </c>
      <c r="C571" s="0" t="s">
        <v>31</v>
      </c>
      <c r="D571" s="0" t="s">
        <v>132</v>
      </c>
      <c r="E571" s="0" t="s">
        <v>1311</v>
      </c>
      <c r="F571" s="0" t="s">
        <v>1312</v>
      </c>
      <c r="G571" s="0" t="s">
        <v>1313</v>
      </c>
    </row>
    <row r="572" customFormat="false" ht="15" hidden="false" customHeight="false" outlineLevel="0" collapsed="false">
      <c r="A572" s="0" t="s">
        <v>1198</v>
      </c>
      <c r="B572" s="0" t="s">
        <v>1197</v>
      </c>
      <c r="C572" s="0" t="s">
        <v>31</v>
      </c>
      <c r="D572" s="0" t="s">
        <v>132</v>
      </c>
      <c r="E572" s="0" t="s">
        <v>1311</v>
      </c>
      <c r="F572" s="0" t="s">
        <v>1312</v>
      </c>
      <c r="G572" s="0" t="s">
        <v>1313</v>
      </c>
    </row>
    <row r="573" customFormat="false" ht="15" hidden="false" customHeight="false" outlineLevel="0" collapsed="false">
      <c r="A573" s="0" t="s">
        <v>718</v>
      </c>
      <c r="B573" s="0" t="s">
        <v>717</v>
      </c>
      <c r="C573" s="0" t="s">
        <v>38</v>
      </c>
      <c r="D573" s="0" t="s">
        <v>494</v>
      </c>
      <c r="E573" s="0" t="s">
        <v>1308</v>
      </c>
      <c r="F573" s="0" t="s">
        <v>1309</v>
      </c>
      <c r="G573" s="0" t="s">
        <v>1310</v>
      </c>
    </row>
    <row r="574" customFormat="false" ht="15" hidden="false" customHeight="false" outlineLevel="0" collapsed="false">
      <c r="A574" s="0" t="s">
        <v>397</v>
      </c>
      <c r="B574" s="0" t="s">
        <v>396</v>
      </c>
      <c r="C574" s="0" t="s">
        <v>31</v>
      </c>
      <c r="D574" s="0" t="s">
        <v>132</v>
      </c>
      <c r="E574" s="0" t="s">
        <v>1311</v>
      </c>
      <c r="F574" s="0" t="s">
        <v>1312</v>
      </c>
      <c r="G574" s="0" t="s">
        <v>1313</v>
      </c>
    </row>
    <row r="575" customFormat="false" ht="15" hidden="false" customHeight="false" outlineLevel="0" collapsed="false">
      <c r="A575" s="0" t="s">
        <v>1057</v>
      </c>
      <c r="B575" s="0" t="s">
        <v>1056</v>
      </c>
      <c r="C575" s="0" t="s">
        <v>31</v>
      </c>
      <c r="D575" s="0" t="s">
        <v>132</v>
      </c>
      <c r="E575" s="0" t="s">
        <v>1311</v>
      </c>
      <c r="F575" s="0" t="s">
        <v>1312</v>
      </c>
      <c r="G575" s="0" t="s">
        <v>1313</v>
      </c>
    </row>
    <row r="576" customFormat="false" ht="15" hidden="false" customHeight="false" outlineLevel="0" collapsed="false">
      <c r="A576" s="0" t="s">
        <v>557</v>
      </c>
      <c r="B576" s="0" t="s">
        <v>556</v>
      </c>
      <c r="C576" s="0" t="s">
        <v>132</v>
      </c>
      <c r="D576" s="0" t="s">
        <v>1311</v>
      </c>
      <c r="E576" s="0" t="s">
        <v>1312</v>
      </c>
      <c r="F576" s="0" t="s">
        <v>1313</v>
      </c>
      <c r="G576" s="0" t="s">
        <v>1314</v>
      </c>
      <c r="H576" s="0" t="s">
        <v>1290</v>
      </c>
    </row>
    <row r="577" customFormat="false" ht="15" hidden="false" customHeight="false" outlineLevel="0" collapsed="false">
      <c r="A577" s="0" t="s">
        <v>779</v>
      </c>
      <c r="B577" s="0" t="s">
        <v>778</v>
      </c>
      <c r="C577" s="0" t="s">
        <v>31</v>
      </c>
      <c r="D577" s="0" t="s">
        <v>132</v>
      </c>
      <c r="E577" s="0" t="s">
        <v>1311</v>
      </c>
      <c r="F577" s="0" t="s">
        <v>1312</v>
      </c>
      <c r="G577" s="0" t="s">
        <v>1313</v>
      </c>
    </row>
    <row r="578" customFormat="false" ht="15" hidden="false" customHeight="false" outlineLevel="0" collapsed="false">
      <c r="A578" s="0" t="s">
        <v>1035</v>
      </c>
      <c r="B578" s="0" t="s">
        <v>1034</v>
      </c>
      <c r="C578" s="0" t="s">
        <v>31</v>
      </c>
      <c r="D578" s="0" t="s">
        <v>132</v>
      </c>
      <c r="E578" s="0" t="s">
        <v>1311</v>
      </c>
      <c r="F578" s="0" t="s">
        <v>1312</v>
      </c>
      <c r="G578" s="0" t="s">
        <v>1313</v>
      </c>
    </row>
    <row r="579" customFormat="false" ht="15" hidden="false" customHeight="false" outlineLevel="0" collapsed="false">
      <c r="A579" s="0" t="s">
        <v>791</v>
      </c>
      <c r="B579" s="0" t="s">
        <v>790</v>
      </c>
      <c r="C579" s="0" t="s">
        <v>31</v>
      </c>
      <c r="D579" s="0" t="s">
        <v>132</v>
      </c>
      <c r="E579" s="0" t="s">
        <v>1311</v>
      </c>
      <c r="F579" s="0" t="s">
        <v>1312</v>
      </c>
      <c r="G579" s="0" t="s">
        <v>1313</v>
      </c>
    </row>
    <row r="580" customFormat="false" ht="15" hidden="false" customHeight="false" outlineLevel="0" collapsed="false">
      <c r="A580" s="0" t="s">
        <v>935</v>
      </c>
      <c r="B580" s="0" t="s">
        <v>934</v>
      </c>
      <c r="C580" s="0" t="s">
        <v>38</v>
      </c>
      <c r="D580" s="0" t="s">
        <v>494</v>
      </c>
      <c r="E580" s="0" t="s">
        <v>1308</v>
      </c>
      <c r="F580" s="0" t="s">
        <v>1309</v>
      </c>
      <c r="G580" s="0" t="s">
        <v>1310</v>
      </c>
    </row>
    <row r="581" customFormat="false" ht="15" hidden="false" customHeight="false" outlineLevel="0" collapsed="false">
      <c r="A581" s="0" t="s">
        <v>1053</v>
      </c>
      <c r="B581" s="0" t="s">
        <v>1052</v>
      </c>
      <c r="C581" s="0" t="s">
        <v>31</v>
      </c>
      <c r="D581" s="0" t="s">
        <v>132</v>
      </c>
      <c r="E581" s="0" t="s">
        <v>1311</v>
      </c>
      <c r="F581" s="0" t="s">
        <v>1312</v>
      </c>
      <c r="G581" s="0" t="s">
        <v>1313</v>
      </c>
    </row>
    <row r="582" customFormat="false" ht="15" hidden="false" customHeight="false" outlineLevel="0" collapsed="false">
      <c r="A582" s="0" t="s">
        <v>905</v>
      </c>
      <c r="B582" s="0" t="s">
        <v>904</v>
      </c>
      <c r="C582" s="0" t="s">
        <v>38</v>
      </c>
      <c r="D582" s="0" t="s">
        <v>494</v>
      </c>
      <c r="E582" s="0" t="s">
        <v>1308</v>
      </c>
      <c r="F582" s="0" t="s">
        <v>1309</v>
      </c>
      <c r="G582" s="0" t="s">
        <v>1310</v>
      </c>
    </row>
    <row r="583" customFormat="false" ht="15" hidden="false" customHeight="false" outlineLevel="0" collapsed="false">
      <c r="A583" s="0" t="s">
        <v>694</v>
      </c>
      <c r="B583" s="0" t="s">
        <v>693</v>
      </c>
      <c r="C583" s="0" t="s">
        <v>31</v>
      </c>
      <c r="D583" s="0" t="s">
        <v>132</v>
      </c>
      <c r="E583" s="0" t="s">
        <v>1311</v>
      </c>
      <c r="F583" s="0" t="s">
        <v>1312</v>
      </c>
      <c r="G583" s="0" t="s">
        <v>1313</v>
      </c>
    </row>
    <row r="584" customFormat="false" ht="15" hidden="false" customHeight="false" outlineLevel="0" collapsed="false">
      <c r="A584" s="0" t="s">
        <v>813</v>
      </c>
      <c r="B584" s="0" t="s">
        <v>812</v>
      </c>
      <c r="C584" s="0" t="s">
        <v>31</v>
      </c>
      <c r="D584" s="0" t="s">
        <v>132</v>
      </c>
      <c r="E584" s="0" t="s">
        <v>1311</v>
      </c>
      <c r="F584" s="0" t="s">
        <v>1312</v>
      </c>
      <c r="G584" s="0" t="s">
        <v>1313</v>
      </c>
    </row>
    <row r="585" customFormat="false" ht="15" hidden="false" customHeight="false" outlineLevel="0" collapsed="false">
      <c r="A585" s="0" t="s">
        <v>1146</v>
      </c>
      <c r="B585" s="0" t="s">
        <v>1145</v>
      </c>
      <c r="C585" s="0" t="s">
        <v>31</v>
      </c>
      <c r="D585" s="0" t="s">
        <v>132</v>
      </c>
      <c r="E585" s="0" t="s">
        <v>1311</v>
      </c>
      <c r="F585" s="0" t="s">
        <v>1312</v>
      </c>
      <c r="G585" s="0" t="s">
        <v>1313</v>
      </c>
    </row>
    <row r="586" customFormat="false" ht="15" hidden="false" customHeight="false" outlineLevel="0" collapsed="false">
      <c r="A586" s="0" t="s">
        <v>893</v>
      </c>
      <c r="B586" s="0" t="s">
        <v>892</v>
      </c>
      <c r="C586" s="0" t="s">
        <v>31</v>
      </c>
      <c r="D586" s="0" t="s">
        <v>132</v>
      </c>
      <c r="E586" s="0" t="s">
        <v>1311</v>
      </c>
      <c r="F586" s="0" t="s">
        <v>1312</v>
      </c>
      <c r="G586" s="0" t="s">
        <v>1313</v>
      </c>
    </row>
    <row r="587" customFormat="false" ht="15" hidden="false" customHeight="false" outlineLevel="0" collapsed="false">
      <c r="A587" s="0" t="s">
        <v>1186</v>
      </c>
      <c r="B587" s="0" t="s">
        <v>1185</v>
      </c>
      <c r="C587" s="0" t="s">
        <v>31</v>
      </c>
      <c r="D587" s="0" t="s">
        <v>132</v>
      </c>
      <c r="E587" s="0" t="s">
        <v>1311</v>
      </c>
      <c r="F587" s="0" t="s">
        <v>1312</v>
      </c>
      <c r="G587" s="0" t="s">
        <v>1313</v>
      </c>
    </row>
    <row r="588" customFormat="false" ht="15" hidden="false" customHeight="false" outlineLevel="0" collapsed="false">
      <c r="A588" s="0" t="s">
        <v>119</v>
      </c>
      <c r="B588" s="0" t="s">
        <v>118</v>
      </c>
      <c r="C588" s="0" t="s">
        <v>31</v>
      </c>
      <c r="D588" s="0" t="s">
        <v>132</v>
      </c>
      <c r="E588" s="0" t="s">
        <v>1311</v>
      </c>
      <c r="F588" s="0" t="s">
        <v>1312</v>
      </c>
      <c r="G588" s="0" t="s">
        <v>1313</v>
      </c>
    </row>
    <row r="589" customFormat="false" ht="15" hidden="false" customHeight="false" outlineLevel="0" collapsed="false">
      <c r="A589" s="0" t="s">
        <v>1083</v>
      </c>
      <c r="B589" s="0" t="s">
        <v>1082</v>
      </c>
      <c r="C589" s="0" t="s">
        <v>31</v>
      </c>
      <c r="D589" s="0" t="s">
        <v>132</v>
      </c>
      <c r="E589" s="0" t="s">
        <v>1311</v>
      </c>
      <c r="F589" s="0" t="s">
        <v>1312</v>
      </c>
      <c r="G589" s="0" t="s">
        <v>1313</v>
      </c>
    </row>
    <row r="590" customFormat="false" ht="15" hidden="false" customHeight="false" outlineLevel="0" collapsed="false">
      <c r="A590" s="0" t="s">
        <v>807</v>
      </c>
      <c r="B590" s="0" t="s">
        <v>806</v>
      </c>
      <c r="C590" s="0" t="s">
        <v>31</v>
      </c>
      <c r="D590" s="0" t="s">
        <v>132</v>
      </c>
      <c r="E590" s="0" t="s">
        <v>1311</v>
      </c>
      <c r="F590" s="0" t="s">
        <v>1312</v>
      </c>
      <c r="G590" s="0" t="s">
        <v>1313</v>
      </c>
    </row>
    <row r="591" customFormat="false" ht="15" hidden="false" customHeight="false" outlineLevel="0" collapsed="false">
      <c r="A591" s="0" t="s">
        <v>726</v>
      </c>
      <c r="B591" s="0" t="s">
        <v>725</v>
      </c>
      <c r="C591" s="0" t="s">
        <v>31</v>
      </c>
      <c r="D591" s="0" t="s">
        <v>132</v>
      </c>
      <c r="E591" s="0" t="s">
        <v>1311</v>
      </c>
      <c r="F591" s="0" t="s">
        <v>1312</v>
      </c>
      <c r="G591" s="0" t="s">
        <v>1313</v>
      </c>
    </row>
    <row r="592" customFormat="false" ht="15" hidden="false" customHeight="false" outlineLevel="0" collapsed="false">
      <c r="A592" s="0" t="s">
        <v>991</v>
      </c>
      <c r="B592" s="0" t="s">
        <v>990</v>
      </c>
      <c r="C592" s="0" t="s">
        <v>31</v>
      </c>
      <c r="D592" s="0" t="s">
        <v>132</v>
      </c>
      <c r="E592" s="0" t="s">
        <v>1311</v>
      </c>
      <c r="F592" s="0" t="s">
        <v>1312</v>
      </c>
      <c r="G592" s="0" t="s">
        <v>1313</v>
      </c>
    </row>
    <row r="593" customFormat="false" ht="15" hidden="false" customHeight="false" outlineLevel="0" collapsed="false">
      <c r="A593" s="0" t="s">
        <v>622</v>
      </c>
      <c r="B593" s="0" t="s">
        <v>621</v>
      </c>
      <c r="C593" s="0" t="s">
        <v>31</v>
      </c>
      <c r="D593" s="0" t="s">
        <v>132</v>
      </c>
      <c r="E593" s="0" t="s">
        <v>1311</v>
      </c>
      <c r="F593" s="0" t="s">
        <v>1312</v>
      </c>
      <c r="G593" s="0" t="s">
        <v>1313</v>
      </c>
    </row>
    <row r="594" customFormat="false" ht="15" hidden="false" customHeight="false" outlineLevel="0" collapsed="false">
      <c r="A594" s="0" t="s">
        <v>1132</v>
      </c>
      <c r="B594" s="0" t="s">
        <v>1131</v>
      </c>
      <c r="C594" s="0" t="s">
        <v>31</v>
      </c>
      <c r="D594" s="0" t="s">
        <v>132</v>
      </c>
      <c r="E594" s="0" t="s">
        <v>1311</v>
      </c>
      <c r="F594" s="0" t="s">
        <v>1312</v>
      </c>
      <c r="G594" s="0" t="s">
        <v>1313</v>
      </c>
    </row>
    <row r="596" customFormat="false" ht="15" hidden="false" customHeight="false" outlineLevel="0" collapsed="false">
      <c r="A596" s="28" t="s">
        <v>1320</v>
      </c>
    </row>
    <row r="597" customFormat="false" ht="15" hidden="false" customHeight="false" outlineLevel="0" collapsed="false">
      <c r="A597" s="19" t="s">
        <v>1321</v>
      </c>
      <c r="B597" s="0" t="s">
        <v>1322</v>
      </c>
    </row>
    <row r="598" customFormat="false" ht="15" hidden="false" customHeight="false" outlineLevel="0" collapsed="false">
      <c r="A598" s="19" t="s">
        <v>1323</v>
      </c>
      <c r="B598" s="0" t="s">
        <v>1324</v>
      </c>
    </row>
    <row r="599" customFormat="false" ht="15" hidden="false" customHeight="false" outlineLevel="0" collapsed="false">
      <c r="A599" s="0" t="s">
        <v>1325</v>
      </c>
      <c r="B599" s="19" t="s">
        <v>1326</v>
      </c>
    </row>
    <row r="600" customFormat="false" ht="15" hidden="false" customHeight="false" outlineLevel="0" collapsed="false">
      <c r="A600" s="0" t="s">
        <v>1327</v>
      </c>
      <c r="B600" s="19" t="s">
        <v>1328</v>
      </c>
    </row>
    <row r="601" customFormat="false" ht="15" hidden="false" customHeight="false" outlineLevel="0" collapsed="false">
      <c r="A601" s="0" t="s">
        <v>1329</v>
      </c>
      <c r="B601" s="0" t="s">
        <v>1330</v>
      </c>
    </row>
    <row r="602" customFormat="false" ht="15" hidden="false" customHeight="false" outlineLevel="0" collapsed="false">
      <c r="A602" s="0" t="s">
        <v>1331</v>
      </c>
      <c r="B602" s="0" t="s">
        <v>1332</v>
      </c>
    </row>
    <row r="603" customFormat="false" ht="15" hidden="false" customHeight="false" outlineLevel="0" collapsed="false">
      <c r="A603" s="19" t="s">
        <v>1333</v>
      </c>
      <c r="B603" s="0" t="s">
        <v>1334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2026-09-24T09:32:58Z</dcterms:created>
  <dc:creator>openpyxl</dc:creator>
  <dc:description/>
  <dc:language>en-US</dc:language>
  <cp:lastModifiedBy/>
  <dcterms:modified xsi:type="dcterms:W3CDTF">2026-09-24T14:40:13Z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